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1" activeTab="1" autoFilterDateGrouping="1"/>
  </bookViews>
  <sheets>
    <sheet name="Hardware Budget" sheetId="1" state="visible" r:id="rId1"/>
    <sheet name="Cloud Expenses" sheetId="2" state="visible" r:id="rId2"/>
    <sheet name="Hours" sheetId="3" state="visible" r:id="rId3"/>
    <sheet name="Cardboard Sizes" sheetId="4" state="visible" r:id="rId4"/>
  </sheets>
  <definedNames>
    <definedName name="Hours.WorkWeek">Hours!$K$2:$K$2</definedName>
    <definedName name="Monthly.CU.Hours">'Cloud Expenses'!$U$2:$U$2</definedName>
    <definedName name="Weeks.Month">Hours!$D$2:$D$2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$&quot;#,##0.00_);[Red]\(&quot;$&quot;#,##0.00\)"/>
    <numFmt numFmtId="165" formatCode="_([$$-409]* #,##0.00_);_([$$-409]* \(#,##0.00\);_([$$-409]* &quot;-&quot;??_);_(@_)"/>
    <numFmt numFmtId="166" formatCode="&quot;$&quot;#,##0.00"/>
    <numFmt numFmtId="167" formatCode="&quot;$&quot;#,##0.000"/>
  </numFmts>
  <fonts count="44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1"/>
      <u val="single"/>
      <scheme val="minor"/>
    </font>
    <font>
      <name val="Arial"/>
      <b val="1"/>
      <color theme="1"/>
      <sz val="16"/>
    </font>
    <font>
      <name val="Arial"/>
      <b val="1"/>
      <color theme="1"/>
      <sz val="12"/>
    </font>
    <font>
      <name val="Google Sans"/>
      <charset val="1"/>
      <b val="1"/>
      <color theme="1"/>
      <sz val="12"/>
    </font>
    <font>
      <name val="Arial"/>
      <b val="1"/>
      <color theme="1"/>
      <sz val="12"/>
      <u val="single"/>
    </font>
    <font>
      <name val="Arial"/>
      <b val="1"/>
      <i val="1"/>
      <color theme="1"/>
      <sz val="12"/>
    </font>
    <font>
      <name val="Calibri"/>
      <family val="2"/>
      <b val="1"/>
      <color theme="1"/>
      <sz val="12"/>
      <scheme val="minor"/>
    </font>
    <font>
      <name val="Arial"/>
      <charset val="1"/>
      <b val="1"/>
      <color rgb="FF000000"/>
      <sz val="12"/>
    </font>
    <font>
      <name val="Aparajita"/>
      <b val="1"/>
      <color theme="10"/>
      <sz val="18"/>
      <u val="single"/>
    </font>
    <font>
      <name val="Aparajita"/>
      <b val="1"/>
      <color theme="1"/>
      <sz val="18"/>
    </font>
    <font>
      <name val="Aharoni"/>
      <b val="1"/>
      <color theme="1"/>
      <sz val="11"/>
    </font>
    <font>
      <name val="Aharoni"/>
      <b val="1"/>
      <color theme="1"/>
      <sz val="18"/>
    </font>
    <font>
      <name val="Inter"/>
      <charset val="1"/>
      <color rgb="FF94979E"/>
      <sz val="11"/>
    </font>
    <font>
      <name val="Inter"/>
      <charset val="1"/>
      <b val="1"/>
      <color rgb="FF94979E"/>
      <sz val="11"/>
    </font>
    <font>
      <name val="Inter"/>
      <b val="1"/>
      <color rgb="FF94979E"/>
      <sz val="11"/>
    </font>
    <font>
      <name val="Arial"/>
      <color rgb="FF000000"/>
      <sz val="12"/>
    </font>
    <font>
      <name val="Arial"/>
      <b val="1"/>
      <i val="1"/>
      <color rgb="FF000000"/>
      <sz val="14"/>
      <u val="single"/>
    </font>
    <font>
      <name val="Nunito Sans"/>
      <charset val="1"/>
      <family val="2"/>
      <b val="1"/>
      <color rgb="FF465A6F"/>
      <sz val="11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Arial"/>
      <b val="1"/>
      <i val="1"/>
      <color theme="1"/>
      <sz val="20"/>
    </font>
    <font>
      <name val="Calibri"/>
      <family val="2"/>
      <b val="1"/>
      <color theme="1"/>
      <sz val="14"/>
      <scheme val="minor"/>
    </font>
    <font>
      <name val="Arial"/>
      <b val="1"/>
      <color theme="1"/>
      <sz val="14"/>
    </font>
    <font>
      <name val="Calibri"/>
      <family val="2"/>
      <color theme="10"/>
      <sz val="14"/>
      <u val="single"/>
      <scheme val="minor"/>
    </font>
    <font>
      <name val="Aparajita"/>
      <b val="1"/>
      <color theme="10"/>
      <sz val="14"/>
      <u val="single"/>
    </font>
    <font>
      <name val="Aparajita"/>
      <b val="1"/>
      <color theme="1"/>
      <sz val="14"/>
    </font>
    <font>
      <name val="Inter"/>
      <charset val="1"/>
      <b val="1"/>
      <color rgb="FF94979E"/>
      <sz val="14"/>
    </font>
    <font>
      <name val="Inter"/>
      <charset val="1"/>
      <color rgb="FF94979E"/>
      <sz val="14"/>
    </font>
    <font>
      <name val="Inter"/>
      <b val="1"/>
      <color rgb="FF94979E"/>
      <sz val="14"/>
    </font>
    <font>
      <name val="Calibri"/>
      <family val="2"/>
      <color theme="1"/>
      <sz val="14"/>
      <scheme val="minor"/>
    </font>
    <font/>
    <font>
      <b val="1"/>
    </font>
    <font>
      <b val="1"/>
      <sz val="12"/>
    </font>
    <font>
      <name val="Calibri"/>
      <b val="1"/>
      <color rgb="00FFFFFF"/>
      <sz val="18"/>
    </font>
    <font>
      <name val="Calibri"/>
      <i val="1"/>
      <color rgb="0094A3B8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334155"/>
      <sz val="10"/>
    </font>
    <font>
      <name val="Calibri"/>
      <b val="1"/>
      <color rgb="001B3A4B"/>
      <sz val="11"/>
    </font>
    <font>
      <name val="Calibri"/>
      <color rgb="00334155"/>
      <sz val="10"/>
    </font>
    <font>
      <name val="Calibri"/>
      <i val="1"/>
      <color rgb="0064748B"/>
      <sz val="9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B3A4B"/>
      </patternFill>
    </fill>
    <fill>
      <patternFill patternType="solid">
        <fgColor rgb="000F172A"/>
      </patternFill>
    </fill>
    <fill>
      <patternFill patternType="solid">
        <fgColor rgb="000F766E"/>
      </patternFill>
    </fill>
    <fill>
      <patternFill patternType="solid">
        <fgColor rgb="002E5A6E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 style="thick">
        <color rgb="FF000000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medium">
        <color rgb="00059669"/>
      </left>
      <right style="medium">
        <color rgb="00059669"/>
      </right>
      <top style="medium">
        <color rgb="00059669"/>
      </top>
      <bottom style="medium">
        <color rgb="00059669"/>
      </bottom>
    </border>
    <border>
      <left/>
      <right/>
      <top style="medium">
        <color rgb="00059669"/>
      </top>
      <bottom/>
      <diagonal/>
    </border>
    <border>
      <left/>
      <right style="medium">
        <color rgb="00059669"/>
      </right>
      <top style="medium">
        <color rgb="00059669"/>
      </top>
      <bottom/>
      <diagonal/>
    </border>
    <border>
      <left/>
      <right/>
      <top style="medium">
        <color rgb="00059669"/>
      </top>
      <bottom style="medium">
        <color rgb="00059669"/>
      </bottom>
      <diagonal/>
    </border>
    <border>
      <left/>
      <right style="medium">
        <color rgb="00059669"/>
      </right>
      <top style="medium">
        <color rgb="00059669"/>
      </top>
      <bottom style="medium">
        <color rgb="00059669"/>
      </bottom>
      <diagonal/>
    </border>
  </borders>
  <cellStyleXfs count="2">
    <xf numFmtId="0" fontId="0" fillId="0" borderId="0"/>
    <xf numFmtId="0" fontId="2" fillId="0" borderId="0"/>
  </cellStyleXfs>
  <cellXfs count="24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6" fillId="2" borderId="2" applyAlignment="1" pivotButton="0" quotePrefix="0" xfId="1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5" fontId="4" fillId="2" borderId="2" applyAlignment="1" pivotButton="0" quotePrefix="0" xfId="0">
      <alignment horizontal="center" vertical="center" wrapText="1"/>
    </xf>
    <xf numFmtId="165" fontId="7" fillId="2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vertical="center" wrapText="1"/>
    </xf>
    <xf numFmtId="165" fontId="4" fillId="2" borderId="6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2" fillId="2" borderId="6" applyAlignment="1" pivotButton="0" quotePrefix="0" xfId="1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65" fontId="4" fillId="2" borderId="9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10" fillId="2" borderId="2" applyAlignment="1" pivotButton="0" quotePrefix="0" xfId="1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8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" fillId="2" borderId="5" applyAlignment="1" pivotButton="0" quotePrefix="0" xfId="1">
      <alignment horizontal="center" vertical="center" wrapText="1"/>
    </xf>
    <xf numFmtId="0" fontId="17" fillId="2" borderId="0" applyAlignment="1" pivotButton="0" quotePrefix="0" xfId="0">
      <alignment horizontal="center" vertical="center" wrapText="1"/>
    </xf>
    <xf numFmtId="10" fontId="4" fillId="2" borderId="2" applyAlignment="1" pivotButton="0" quotePrefix="0" xfId="0">
      <alignment horizontal="center" vertical="center" wrapText="1"/>
    </xf>
    <xf numFmtId="10" fontId="7" fillId="2" borderId="2" applyAlignment="1" pivotButton="0" quotePrefix="0" xfId="0">
      <alignment horizontal="center" vertical="center" wrapText="1"/>
    </xf>
    <xf numFmtId="10" fontId="4" fillId="2" borderId="5" applyAlignment="1" pivotButton="0" quotePrefix="0" xfId="0">
      <alignment horizontal="center" vertical="center" wrapText="1"/>
    </xf>
    <xf numFmtId="0" fontId="7" fillId="2" borderId="2" applyAlignment="1" pivotButton="0" quotePrefix="0" xfId="0">
      <alignment vertical="center" wrapText="1"/>
    </xf>
    <xf numFmtId="0" fontId="4" fillId="2" borderId="2" applyAlignment="1" pivotButton="0" quotePrefix="0" xfId="0">
      <alignment vertical="center" wrapText="1"/>
    </xf>
    <xf numFmtId="0" fontId="4" fillId="3" borderId="5" applyAlignment="1" pivotButton="0" quotePrefix="0" xfId="0">
      <alignment vertical="center" wrapText="1"/>
    </xf>
    <xf numFmtId="0" fontId="4" fillId="2" borderId="7" applyAlignment="1" pivotButton="0" quotePrefix="0" xfId="0">
      <alignment vertical="center" wrapText="1"/>
    </xf>
    <xf numFmtId="0" fontId="4" fillId="2" borderId="10" applyAlignment="1" pivotButton="0" quotePrefix="0" xfId="0">
      <alignment vertical="center" wrapText="1"/>
    </xf>
    <xf numFmtId="0" fontId="4" fillId="2" borderId="8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6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/>
    </xf>
    <xf numFmtId="165" fontId="4" fillId="2" borderId="5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wrapText="1"/>
    </xf>
    <xf numFmtId="165" fontId="4" fillId="2" borderId="5" applyAlignment="1" pivotButton="0" quotePrefix="0" xfId="0">
      <alignment vertical="center" wrapText="1"/>
    </xf>
    <xf numFmtId="0" fontId="4" fillId="2" borderId="5" applyAlignment="1" pivotButton="0" quotePrefix="0" xfId="0">
      <alignment vertical="center" wrapText="1"/>
    </xf>
    <xf numFmtId="0" fontId="7" fillId="2" borderId="5" applyAlignment="1" pivotButton="0" quotePrefix="0" xfId="0">
      <alignment vertical="center" wrapText="1"/>
    </xf>
    <xf numFmtId="0" fontId="7" fillId="2" borderId="5" applyAlignment="1" pivotButton="0" quotePrefix="0" xfId="0">
      <alignment horizontal="center" vertical="center" wrapText="1"/>
    </xf>
    <xf numFmtId="10" fontId="7" fillId="2" borderId="5" applyAlignment="1" pivotButton="0" quotePrefix="0" xfId="0">
      <alignment horizontal="center" vertical="center" wrapText="1"/>
    </xf>
    <xf numFmtId="164" fontId="23" fillId="4" borderId="5" applyAlignment="1" pivotButton="0" quotePrefix="0" xfId="0">
      <alignment horizontal="center" vertical="center" wrapText="1"/>
    </xf>
    <xf numFmtId="164" fontId="23" fillId="5" borderId="5" applyAlignment="1" pivotButton="0" quotePrefix="0" xfId="0">
      <alignment horizontal="center" vertical="center" wrapText="1"/>
    </xf>
    <xf numFmtId="165" fontId="4" fillId="2" borderId="2" applyAlignment="1" pivotButton="0" quotePrefix="0" xfId="0">
      <alignment vertical="center" wrapText="1"/>
    </xf>
    <xf numFmtId="165" fontId="7" fillId="2" borderId="2" applyAlignment="1" pivotButton="0" quotePrefix="0" xfId="0">
      <alignment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1" applyAlignment="1" pivotButton="0" quotePrefix="0" xfId="0">
      <alignment vertical="center" wrapText="1"/>
    </xf>
    <xf numFmtId="0" fontId="4" fillId="2" borderId="9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center" vertical="center" wrapText="1"/>
    </xf>
    <xf numFmtId="0" fontId="25" fillId="2" borderId="2" applyAlignment="1" pivotButton="0" quotePrefix="0" xfId="0">
      <alignment horizontal="center" vertical="center" wrapText="1"/>
    </xf>
    <xf numFmtId="0" fontId="26" fillId="2" borderId="2" applyAlignment="1" pivotButton="0" quotePrefix="0" xfId="1">
      <alignment horizontal="center" vertical="center" wrapText="1"/>
    </xf>
    <xf numFmtId="165" fontId="25" fillId="2" borderId="2" applyAlignment="1" pivotButton="0" quotePrefix="0" xfId="0">
      <alignment horizontal="center" vertical="center"/>
    </xf>
    <xf numFmtId="166" fontId="25" fillId="2" borderId="2" applyAlignment="1" pivotButton="0" quotePrefix="0" xfId="0">
      <alignment horizontal="center" vertical="center" wrapText="1"/>
    </xf>
    <xf numFmtId="165" fontId="25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1">
      <alignment horizontal="center" vertical="center" wrapText="1"/>
    </xf>
    <xf numFmtId="0" fontId="28" fillId="2" borderId="12" applyAlignment="1" pivotButton="0" quotePrefix="0" xfId="0">
      <alignment horizontal="center" vertical="center" wrapText="1"/>
    </xf>
    <xf numFmtId="0" fontId="28" fillId="2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/>
    </xf>
    <xf numFmtId="0" fontId="8" fillId="0" borderId="5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0" fontId="8" fillId="0" borderId="9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 wrapText="1"/>
    </xf>
    <xf numFmtId="165" fontId="4" fillId="2" borderId="2" applyAlignment="1" pivotButton="0" quotePrefix="0" xfId="0">
      <alignment horizontal="center" vertical="center" wrapText="1"/>
    </xf>
    <xf numFmtId="165" fontId="4" fillId="2" borderId="2" applyAlignment="1" pivotButton="0" quotePrefix="0" xfId="0">
      <alignment vertical="center" wrapText="1"/>
    </xf>
    <xf numFmtId="165" fontId="7" fillId="2" borderId="2" applyAlignment="1" pivotButton="0" quotePrefix="0" xfId="0">
      <alignment horizontal="center" vertical="center" wrapText="1"/>
    </xf>
    <xf numFmtId="165" fontId="7" fillId="2" borderId="2" applyAlignment="1" pivotButton="0" quotePrefix="0" xfId="0">
      <alignment vertical="center" wrapText="1"/>
    </xf>
    <xf numFmtId="165" fontId="4" fillId="2" borderId="5" applyAlignment="1" pivotButton="0" quotePrefix="0" xfId="0">
      <alignment horizontal="center" vertical="center" wrapText="1"/>
    </xf>
    <xf numFmtId="165" fontId="4" fillId="2" borderId="5" applyAlignment="1" pivotButton="0" quotePrefix="0" xfId="0">
      <alignment vertical="center" wrapText="1"/>
    </xf>
    <xf numFmtId="164" fontId="23" fillId="4" borderId="5" applyAlignment="1" pivotButton="0" quotePrefix="0" xfId="0">
      <alignment horizontal="center" vertical="center" wrapText="1"/>
    </xf>
    <xf numFmtId="164" fontId="23" fillId="5" borderId="5" applyAlignment="1" pivotButton="0" quotePrefix="0" xfId="0">
      <alignment horizontal="center" vertical="center" wrapText="1"/>
    </xf>
    <xf numFmtId="165" fontId="4" fillId="2" borderId="6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 wrapText="1"/>
    </xf>
    <xf numFmtId="165" fontId="4" fillId="2" borderId="9" applyAlignment="1" pivotButton="0" quotePrefix="0" xfId="0">
      <alignment horizontal="center" vertical="center" wrapText="1"/>
    </xf>
    <xf numFmtId="165" fontId="4" fillId="2" borderId="2" applyAlignment="1" pivotButton="0" quotePrefix="0" xfId="0">
      <alignment horizontal="center" vertical="center"/>
    </xf>
    <xf numFmtId="0" fontId="34" fillId="2" borderId="11" applyAlignment="1" pivotButton="0" quotePrefix="0" xfId="0">
      <alignment horizontal="center" vertical="center" wrapText="1"/>
    </xf>
    <xf numFmtId="165" fontId="25" fillId="2" borderId="2" applyAlignment="1" pivotButton="0" quotePrefix="0" xfId="0">
      <alignment horizontal="center" vertical="center"/>
    </xf>
    <xf numFmtId="166" fontId="25" fillId="2" borderId="2" applyAlignment="1" pivotButton="0" quotePrefix="0" xfId="0">
      <alignment horizontal="center" vertical="center" wrapText="1"/>
    </xf>
    <xf numFmtId="165" fontId="25" fillId="2" borderId="2" applyAlignment="1" pivotButton="0" quotePrefix="0" xfId="0">
      <alignment horizontal="center" vertical="center" wrapText="1"/>
    </xf>
    <xf numFmtId="0" fontId="34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33" fillId="6" borderId="2" applyAlignment="1" pivotButton="0" quotePrefix="0" xfId="1">
      <alignment horizontal="center" vertical="center" wrapText="1"/>
    </xf>
    <xf numFmtId="0" fontId="33" fillId="0" borderId="2" applyAlignment="1" pivotButton="0" quotePrefix="0" xfId="1">
      <alignment horizontal="center" vertical="center" wrapText="1"/>
    </xf>
    <xf numFmtId="165" fontId="33" fillId="0" borderId="2" applyAlignment="1" pivotButton="0" quotePrefix="0" xfId="0">
      <alignment horizontal="center" vertical="center"/>
    </xf>
    <xf numFmtId="0" fontId="33" fillId="0" borderId="2" applyAlignment="1" pivotButton="0" quotePrefix="0" xfId="0">
      <alignment horizontal="center" vertical="center" wrapText="1"/>
    </xf>
    <xf numFmtId="0" fontId="33" fillId="0" borderId="2" applyAlignment="1" pivotButton="0" quotePrefix="0" xfId="0">
      <alignment vertical="center" wrapText="1"/>
    </xf>
    <xf numFmtId="165" fontId="33" fillId="0" borderId="2" applyAlignment="1" pivotButton="0" quotePrefix="0" xfId="0">
      <alignment horizontal="center" vertical="center" wrapText="1"/>
    </xf>
    <xf numFmtId="0" fontId="33" fillId="0" borderId="4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3" fillId="0" borderId="0" pivotButton="0" quotePrefix="0" xfId="0"/>
    <xf numFmtId="166" fontId="33" fillId="0" borderId="2" applyAlignment="1" pivotButton="0" quotePrefix="0" xfId="0">
      <alignment horizontal="center" vertical="center"/>
    </xf>
    <xf numFmtId="0" fontId="33" fillId="7" borderId="2" applyAlignment="1" pivotButton="0" quotePrefix="0" xfId="0">
      <alignment horizontal="center" vertical="center" wrapText="1"/>
    </xf>
    <xf numFmtId="166" fontId="33" fillId="0" borderId="2" applyAlignment="1" pivotButton="0" quotePrefix="0" xfId="0">
      <alignment horizontal="center" vertical="center" wrapText="1"/>
    </xf>
    <xf numFmtId="0" fontId="33" fillId="8" borderId="2" applyAlignment="1" pivotButton="0" quotePrefix="0" xfId="0">
      <alignment horizontal="center" vertical="center" wrapText="1"/>
    </xf>
    <xf numFmtId="0" fontId="33" fillId="8" borderId="2" applyAlignment="1" pivotButton="0" quotePrefix="0" xfId="1">
      <alignment horizontal="center" vertical="center" wrapText="1"/>
    </xf>
    <xf numFmtId="166" fontId="33" fillId="8" borderId="2" applyAlignment="1" pivotButton="0" quotePrefix="0" xfId="0">
      <alignment horizontal="center" vertical="center"/>
    </xf>
    <xf numFmtId="0" fontId="33" fillId="0" borderId="6" applyAlignment="1" pivotButton="0" quotePrefix="0" xfId="0">
      <alignment horizontal="center" vertical="center" wrapText="1"/>
    </xf>
    <xf numFmtId="166" fontId="33" fillId="0" borderId="6" applyAlignment="1" pivotButton="0" quotePrefix="0" xfId="0">
      <alignment horizontal="center" vertical="center"/>
    </xf>
    <xf numFmtId="0" fontId="33" fillId="0" borderId="6" applyAlignment="1" pivotButton="0" quotePrefix="0" xfId="0">
      <alignment vertical="center" wrapText="1"/>
    </xf>
    <xf numFmtId="166" fontId="33" fillId="0" borderId="6" applyAlignment="1" pivotButton="0" quotePrefix="0" xfId="0">
      <alignment horizontal="center" vertical="center" wrapText="1"/>
    </xf>
    <xf numFmtId="0" fontId="33" fillId="6" borderId="2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/>
    </xf>
    <xf numFmtId="0" fontId="33" fillId="9" borderId="2" applyAlignment="1" pivotButton="0" quotePrefix="0" xfId="0">
      <alignment horizontal="center" vertical="center" wrapText="1"/>
    </xf>
    <xf numFmtId="166" fontId="33" fillId="9" borderId="2" applyAlignment="1" pivotButton="0" quotePrefix="0" xfId="0">
      <alignment horizontal="center" vertical="center"/>
    </xf>
    <xf numFmtId="0" fontId="33" fillId="8" borderId="0" pivotButton="0" quotePrefix="0" xfId="0"/>
    <xf numFmtId="166" fontId="33" fillId="8" borderId="0" pivotButton="0" quotePrefix="0" xfId="0"/>
    <xf numFmtId="166" fontId="33" fillId="0" borderId="0" pivotButton="0" quotePrefix="0" xfId="0"/>
    <xf numFmtId="0" fontId="35" fillId="10" borderId="0" pivotButton="0" quotePrefix="0" xfId="0"/>
    <xf numFmtId="0" fontId="34" fillId="0" borderId="0" pivotButton="0" quotePrefix="0" xfId="0"/>
    <xf numFmtId="0" fontId="34" fillId="7" borderId="0" pivotButton="0" quotePrefix="0" xfId="0"/>
    <xf numFmtId="166" fontId="33" fillId="7" borderId="0" pivotButton="0" quotePrefix="0" xfId="0"/>
    <xf numFmtId="0" fontId="33" fillId="7" borderId="0" pivotButton="0" quotePrefix="0" xfId="0"/>
    <xf numFmtId="0" fontId="34" fillId="9" borderId="0" pivotButton="0" quotePrefix="0" xfId="0"/>
    <xf numFmtId="166" fontId="33" fillId="9" borderId="0" pivotButton="0" quotePrefix="0" xfId="0"/>
    <xf numFmtId="0" fontId="33" fillId="9" borderId="0" pivotButton="0" quotePrefix="0" xfId="0"/>
    <xf numFmtId="0" fontId="34" fillId="8" borderId="0" pivotButton="0" quotePrefix="0" xfId="0"/>
    <xf numFmtId="0" fontId="33" fillId="0" borderId="7" applyAlignment="1" pivotButton="0" quotePrefix="0" xfId="0">
      <alignment horizontal="center" vertical="center" wrapText="1"/>
    </xf>
    <xf numFmtId="0" fontId="34" fillId="0" borderId="7" applyAlignment="1" pivotButton="0" quotePrefix="0" xfId="0">
      <alignment horizontal="center" vertical="center" wrapText="1"/>
    </xf>
    <xf numFmtId="0" fontId="33" fillId="0" borderId="7" applyAlignment="1" pivotButton="0" quotePrefix="0" xfId="0">
      <alignment vertical="center" wrapText="1"/>
    </xf>
    <xf numFmtId="0" fontId="33" fillId="0" borderId="6" applyAlignment="1" pivotButton="0" quotePrefix="0" xfId="1">
      <alignment horizontal="center" vertical="center" wrapText="1"/>
    </xf>
    <xf numFmtId="0" fontId="33" fillId="0" borderId="8" applyAlignment="1" pivotButton="0" quotePrefix="0" xfId="0">
      <alignment horizontal="center" vertical="center" wrapText="1"/>
    </xf>
    <xf numFmtId="0" fontId="33" fillId="0" borderId="10" applyAlignment="1" pivotButton="0" quotePrefix="0" xfId="0">
      <alignment horizontal="center" vertical="center" wrapText="1"/>
    </xf>
    <xf numFmtId="0" fontId="33" fillId="0" borderId="10" applyAlignment="1" pivotButton="0" quotePrefix="0" xfId="0">
      <alignment vertical="center" wrapText="1"/>
    </xf>
    <xf numFmtId="0" fontId="33" fillId="0" borderId="1" applyAlignment="1" pivotButton="0" quotePrefix="0" xfId="0">
      <alignment horizontal="center" vertical="center" wrapText="1"/>
    </xf>
    <xf numFmtId="165" fontId="33" fillId="0" borderId="6" applyAlignment="1" pivotButton="0" quotePrefix="0" xfId="0">
      <alignment horizontal="center" vertical="center"/>
    </xf>
    <xf numFmtId="0" fontId="33" fillId="0" borderId="8" applyAlignment="1" pivotButton="0" quotePrefix="0" xfId="0">
      <alignment vertical="center" wrapText="1"/>
    </xf>
    <xf numFmtId="166" fontId="33" fillId="0" borderId="9" applyAlignment="1" pivotButton="0" quotePrefix="0" xfId="0">
      <alignment horizontal="center" vertical="center" wrapText="1"/>
    </xf>
    <xf numFmtId="0" fontId="33" fillId="0" borderId="3" applyAlignment="1" pivotButton="0" quotePrefix="0" xfId="0">
      <alignment horizontal="center" vertical="center" wrapText="1"/>
    </xf>
    <xf numFmtId="0" fontId="33" fillId="7" borderId="2" applyAlignment="1" pivotButton="0" quotePrefix="0" xfId="1">
      <alignment horizontal="center" vertical="center" wrapText="1"/>
    </xf>
    <xf numFmtId="166" fontId="33" fillId="7" borderId="2" applyAlignment="1" pivotButton="0" quotePrefix="0" xfId="0">
      <alignment horizontal="center" vertical="center"/>
    </xf>
    <xf numFmtId="0" fontId="33" fillId="7" borderId="3" applyAlignment="1" pivotButton="0" quotePrefix="0" xfId="0">
      <alignment horizontal="center" vertical="center" wrapText="1"/>
    </xf>
    <xf numFmtId="0" fontId="33" fillId="7" borderId="4" applyAlignment="1" pivotButton="0" quotePrefix="0" xfId="0">
      <alignment horizontal="center" vertical="center" wrapText="1"/>
    </xf>
    <xf numFmtId="0" fontId="33" fillId="0" borderId="4" applyAlignment="1" pivotButton="0" quotePrefix="0" xfId="0">
      <alignment vertical="center" wrapText="1"/>
    </xf>
    <xf numFmtId="0" fontId="33" fillId="8" borderId="3" applyAlignment="1" pivotButton="0" quotePrefix="0" xfId="0">
      <alignment horizontal="center" vertical="center" wrapText="1"/>
    </xf>
    <xf numFmtId="0" fontId="33" fillId="8" borderId="4" applyAlignment="1" pivotButton="0" quotePrefix="0" xfId="0">
      <alignment horizontal="center" vertical="center" wrapText="1"/>
    </xf>
    <xf numFmtId="0" fontId="34" fillId="6" borderId="0" pivotButton="0" quotePrefix="0" xfId="0"/>
    <xf numFmtId="0" fontId="0" fillId="7" borderId="0" pivotButton="0" quotePrefix="0" xfId="0"/>
    <xf numFmtId="166" fontId="0" fillId="0" borderId="0" pivotButton="0" quotePrefix="0" xfId="0"/>
    <xf numFmtId="0" fontId="0" fillId="9" borderId="0" pivotButton="0" quotePrefix="0" xfId="0"/>
    <xf numFmtId="0" fontId="0" fillId="8" borderId="0" pivotButton="0" quotePrefix="0" xfId="0"/>
    <xf numFmtId="166" fontId="0" fillId="8" borderId="0" pivotButton="0" quotePrefix="0" xfId="0"/>
    <xf numFmtId="0" fontId="36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0" fontId="37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38" fillId="13" borderId="17" applyAlignment="1" pivotButton="0" quotePrefix="0" xfId="0">
      <alignment horizontal="left" vertical="center" indent="1"/>
    </xf>
    <xf numFmtId="0" fontId="0" fillId="13" borderId="17" pivotButton="0" quotePrefix="0" xfId="0"/>
    <xf numFmtId="0" fontId="39" fillId="11" borderId="17" applyAlignment="1" pivotButton="0" quotePrefix="0" xfId="0">
      <alignment horizontal="center" vertical="center" wrapText="1"/>
    </xf>
    <xf numFmtId="0" fontId="42" fillId="20" borderId="17" applyAlignment="1" pivotButton="0" quotePrefix="0" xfId="0">
      <alignment horizontal="left" vertical="center" wrapText="1"/>
    </xf>
    <xf numFmtId="0" fontId="42" fillId="20" borderId="17" applyAlignment="1" pivotButton="0" quotePrefix="0" xfId="0">
      <alignment horizontal="center" vertical="center" wrapText="1"/>
    </xf>
    <xf numFmtId="166" fontId="42" fillId="20" borderId="17" applyAlignment="1" pivotButton="0" quotePrefix="0" xfId="0">
      <alignment horizontal="right" vertical="center"/>
    </xf>
    <xf numFmtId="0" fontId="42" fillId="19" borderId="17" applyAlignment="1" pivotButton="0" quotePrefix="0" xfId="0">
      <alignment horizontal="left" vertical="center" wrapText="1"/>
    </xf>
    <xf numFmtId="0" fontId="42" fillId="19" borderId="17" applyAlignment="1" pivotButton="0" quotePrefix="0" xfId="0">
      <alignment horizontal="center" vertical="center" wrapText="1"/>
    </xf>
    <xf numFmtId="166" fontId="42" fillId="19" borderId="17" applyAlignment="1" pivotButton="0" quotePrefix="0" xfId="0">
      <alignment horizontal="right" vertical="center"/>
    </xf>
    <xf numFmtId="2" fontId="42" fillId="19" borderId="17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wrapText="1"/>
    </xf>
    <xf numFmtId="0" fontId="40" fillId="17" borderId="17" pivotButton="0" quotePrefix="0" xfId="0"/>
    <xf numFmtId="0" fontId="40" fillId="17" borderId="17" applyAlignment="1" pivotButton="0" quotePrefix="0" xfId="0">
      <alignment horizontal="right" vertical="center"/>
    </xf>
    <xf numFmtId="166" fontId="40" fillId="17" borderId="17" pivotButton="0" quotePrefix="0" xfId="0"/>
    <xf numFmtId="0" fontId="39" fillId="14" borderId="17" applyAlignment="1" pivotButton="0" quotePrefix="0" xfId="0">
      <alignment horizontal="center" vertical="center" wrapText="1"/>
    </xf>
    <xf numFmtId="0" fontId="40" fillId="15" borderId="17" pivotButton="0" quotePrefix="0" xfId="0"/>
    <xf numFmtId="166" fontId="41" fillId="15" borderId="17" applyAlignment="1" pivotButton="0" quotePrefix="0" xfId="0">
      <alignment horizontal="right" vertical="center"/>
    </xf>
    <xf numFmtId="166" fontId="0" fillId="15" borderId="17" applyAlignment="1" pivotButton="0" quotePrefix="0" xfId="0">
      <alignment horizontal="right" vertical="center"/>
    </xf>
    <xf numFmtId="0" fontId="42" fillId="15" borderId="17" pivotButton="0" quotePrefix="0" xfId="0"/>
    <xf numFmtId="0" fontId="0" fillId="15" borderId="17" pivotButton="0" quotePrefix="0" xfId="0"/>
    <xf numFmtId="0" fontId="40" fillId="16" borderId="17" pivotButton="0" quotePrefix="0" xfId="0"/>
    <xf numFmtId="166" fontId="41" fillId="16" borderId="17" applyAlignment="1" pivotButton="0" quotePrefix="0" xfId="0">
      <alignment horizontal="right" vertical="center"/>
    </xf>
    <xf numFmtId="166" fontId="0" fillId="16" borderId="17" applyAlignment="1" pivotButton="0" quotePrefix="0" xfId="0">
      <alignment horizontal="right" vertical="center"/>
    </xf>
    <xf numFmtId="0" fontId="42" fillId="16" borderId="17" pivotButton="0" quotePrefix="0" xfId="0"/>
    <xf numFmtId="0" fontId="0" fillId="16" borderId="17" pivotButton="0" quotePrefix="0" xfId="0"/>
    <xf numFmtId="0" fontId="40" fillId="17" borderId="22" pivotButton="0" quotePrefix="0" xfId="0"/>
    <xf numFmtId="166" fontId="41" fillId="17" borderId="22" applyAlignment="1" pivotButton="0" quotePrefix="0" xfId="0">
      <alignment horizontal="right" vertical="center"/>
    </xf>
    <xf numFmtId="166" fontId="0" fillId="17" borderId="22" applyAlignment="1" pivotButton="0" quotePrefix="0" xfId="0">
      <alignment horizontal="right" vertical="center"/>
    </xf>
    <xf numFmtId="0" fontId="42" fillId="17" borderId="22" pivotButton="0" quotePrefix="0" xfId="0"/>
    <xf numFmtId="0" fontId="0" fillId="17" borderId="22" pivotButton="0" quotePrefix="0" xfId="0"/>
    <xf numFmtId="0" fontId="43" fillId="18" borderId="0" pivotButton="0" quotePrefix="0" xfId="0"/>
    <xf numFmtId="0" fontId="40" fillId="15" borderId="17" applyAlignment="1" pivotButton="0" quotePrefix="0" xfId="0">
      <alignment horizontal="left" vertical="center" wrapText="1"/>
    </xf>
    <xf numFmtId="166" fontId="40" fillId="15" borderId="17" applyAlignment="1" pivotButton="0" quotePrefix="0" xfId="0">
      <alignment horizontal="right" vertical="center"/>
    </xf>
    <xf numFmtId="0" fontId="42" fillId="15" borderId="17" applyAlignment="1" pivotButton="0" quotePrefix="0" xfId="0">
      <alignment horizontal="left" vertical="center" wrapText="1"/>
    </xf>
    <xf numFmtId="0" fontId="40" fillId="16" borderId="17" applyAlignment="1" pivotButton="0" quotePrefix="0" xfId="0">
      <alignment horizontal="left" vertical="center" wrapText="1"/>
    </xf>
    <xf numFmtId="166" fontId="40" fillId="16" borderId="17" applyAlignment="1" pivotButton="0" quotePrefix="0" xfId="0">
      <alignment horizontal="right" vertical="center"/>
    </xf>
    <xf numFmtId="0" fontId="42" fillId="16" borderId="17" applyAlignment="1" pivotButton="0" quotePrefix="0" xfId="0">
      <alignment horizontal="left" vertical="center" wrapText="1"/>
    </xf>
    <xf numFmtId="0" fontId="40" fillId="17" borderId="22" applyAlignment="1" pivotButton="0" quotePrefix="0" xfId="0">
      <alignment horizontal="left" vertical="center" wrapText="1"/>
    </xf>
    <xf numFmtId="166" fontId="40" fillId="17" borderId="22" applyAlignment="1" pivotButton="0" quotePrefix="0" xfId="0">
      <alignment horizontal="right" vertical="center"/>
    </xf>
    <xf numFmtId="0" fontId="42" fillId="17" borderId="22" applyAlignment="1" pivotButton="0" quotePrefix="0" xfId="0">
      <alignment horizontal="left" vertical="center" wrapText="1"/>
    </xf>
    <xf numFmtId="166" fontId="42" fillId="15" borderId="17" applyAlignment="1" pivotButton="0" quotePrefix="0" xfId="0">
      <alignment horizontal="right" vertical="center"/>
    </xf>
    <xf numFmtId="0" fontId="42" fillId="15" borderId="17" applyAlignment="1" pivotButton="0" quotePrefix="0" xfId="0">
      <alignment horizontal="center" vertical="center" wrapText="1"/>
    </xf>
    <xf numFmtId="0" fontId="40" fillId="15" borderId="17" applyAlignment="1" pivotButton="0" quotePrefix="0" xfId="0">
      <alignment horizontal="center" vertical="center" wrapText="1"/>
    </xf>
    <xf numFmtId="0" fontId="42" fillId="17" borderId="17" applyAlignment="1" pivotButton="0" quotePrefix="0" xfId="0">
      <alignment horizontal="left" vertical="center" wrapText="1"/>
    </xf>
    <xf numFmtId="166" fontId="42" fillId="17" borderId="17" applyAlignment="1" pivotButton="0" quotePrefix="0" xfId="0">
      <alignment horizontal="right" vertical="center"/>
    </xf>
    <xf numFmtId="0" fontId="42" fillId="17" borderId="17" applyAlignment="1" pivotButton="0" quotePrefix="0" xfId="0">
      <alignment horizontal="center" vertical="center" wrapText="1"/>
    </xf>
    <xf numFmtId="0" fontId="40" fillId="17" borderId="17" applyAlignment="1" pivotButton="0" quotePrefix="0" xfId="0">
      <alignment horizontal="center" vertical="center" wrapText="1"/>
    </xf>
    <xf numFmtId="166" fontId="42" fillId="16" borderId="17" applyAlignment="1" pivotButton="0" quotePrefix="0" xfId="0">
      <alignment horizontal="right" vertical="center"/>
    </xf>
    <xf numFmtId="0" fontId="42" fillId="16" borderId="17" applyAlignment="1" pivotButton="0" quotePrefix="0" xfId="0">
      <alignment horizontal="center" vertical="center" wrapText="1"/>
    </xf>
    <xf numFmtId="0" fontId="40" fillId="16" borderId="17" applyAlignment="1" pivotButton="0" quotePrefix="0" xfId="0">
      <alignment horizontal="center" vertical="center" wrapText="1"/>
    </xf>
    <xf numFmtId="0" fontId="42" fillId="18" borderId="17" applyAlignment="1" pivotButton="0" quotePrefix="0" xfId="0">
      <alignment horizontal="left" vertical="center" wrapText="1"/>
    </xf>
    <xf numFmtId="166" fontId="42" fillId="18" borderId="17" applyAlignment="1" pivotButton="0" quotePrefix="0" xfId="0">
      <alignment horizontal="right" vertical="center"/>
    </xf>
    <xf numFmtId="0" fontId="42" fillId="18" borderId="17" applyAlignment="1" pivotButton="0" quotePrefix="0" xfId="0">
      <alignment horizontal="center" vertical="center" wrapText="1"/>
    </xf>
    <xf numFmtId="4" fontId="42" fillId="20" borderId="17" applyAlignment="1" pivotButton="0" quotePrefix="0" xfId="0">
      <alignment horizontal="center" vertical="center" wrapText="1"/>
    </xf>
    <xf numFmtId="167" fontId="42" fillId="20" borderId="17" applyAlignment="1" pivotButton="0" quotePrefix="0" xfId="0">
      <alignment horizontal="center" vertical="center" wrapText="1"/>
    </xf>
    <xf numFmtId="167" fontId="42" fillId="19" borderId="17" applyAlignment="1" pivotButton="0" quotePrefix="0" xfId="0">
      <alignment horizontal="center" vertical="center" wrapText="1"/>
    </xf>
    <xf numFmtId="4" fontId="42" fillId="19" borderId="17" applyAlignment="1" pivotButton="0" quotePrefix="0" xfId="0">
      <alignment horizontal="center" vertical="center" wrapText="1"/>
    </xf>
    <xf numFmtId="4" fontId="42" fillId="20" borderId="17" applyAlignment="1" pivotButton="0" quotePrefix="0" xfId="0">
      <alignment horizontal="right" vertical="center"/>
    </xf>
    <xf numFmtId="4" fontId="42" fillId="16" borderId="17" applyAlignment="1" pivotButton="0" quotePrefix="0" xfId="0">
      <alignment horizontal="right" vertical="center"/>
    </xf>
    <xf numFmtId="4" fontId="42" fillId="19" borderId="17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6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28" customWidth="1" min="3" max="3"/>
    <col width="26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16" customWidth="1" min="10" max="10"/>
    <col width="16" customWidth="1" min="11" max="11"/>
    <col width="18" customWidth="1" min="12" max="12"/>
    <col width="36" customWidth="1" min="13" max="13"/>
    <col width="28" customWidth="1" min="14" max="14"/>
    <col width="26" customWidth="1" min="15" max="15"/>
    <col width="28" customWidth="1" min="16" max="16"/>
    <col width="14" customWidth="1" min="17" max="17"/>
    <col width="18" customWidth="1" min="18" max="18"/>
    <col width="40" customWidth="1" min="19" max="19"/>
  </cols>
  <sheetData>
    <row r="1" ht="30" customHeight="1">
      <c r="A1" s="180" t="inlineStr">
        <is>
          <t>Saltbox ATL — Hardware &amp; Supplies Budget</t>
        </is>
      </c>
    </row>
    <row r="2" ht="18" customHeight="1">
      <c r="A2" s="182" t="inlineStr">
        <is>
          <t>Warehouse equipment, consumables, and cloud cost summary  ·  Oct 2026</t>
        </is>
      </c>
    </row>
    <row r="3" ht="22" customHeight="1">
      <c r="A3" s="184" t="inlineStr">
        <is>
          <t>HARDWARE &amp; CONSUMABLES</t>
        </is>
      </c>
      <c r="B3" s="244" t="n"/>
      <c r="C3" s="244" t="n"/>
      <c r="D3" s="244" t="n"/>
      <c r="E3" s="244" t="n"/>
      <c r="F3" s="244" t="n"/>
      <c r="G3" s="244" t="n"/>
      <c r="H3" s="244" t="n"/>
      <c r="I3" s="244" t="n"/>
      <c r="J3" s="244" t="n"/>
      <c r="K3" s="244" t="n"/>
      <c r="L3" s="244" t="n"/>
      <c r="M3" s="244" t="n"/>
      <c r="N3" s="244" t="n"/>
      <c r="O3" s="245" t="n"/>
    </row>
    <row r="4" ht="30" customHeight="1">
      <c r="A4" s="186" t="inlineStr">
        <is>
          <t>Item</t>
        </is>
      </c>
      <c r="B4" s="186" t="inlineStr">
        <is>
          <t>Brand</t>
        </is>
      </c>
      <c r="C4" s="186" t="inlineStr">
        <is>
          <t>Model</t>
        </is>
      </c>
      <c r="D4" s="186" t="inlineStr">
        <is>
          <t>UPC / Ref #</t>
        </is>
      </c>
      <c r="E4" s="186" t="inlineStr">
        <is>
          <t>Quantity</t>
        </is>
      </c>
      <c r="F4" s="186" t="inlineStr">
        <is>
          <t>Pack Size</t>
        </is>
      </c>
      <c r="G4" s="186" t="inlineStr">
        <is>
          <t>Cost / Pack</t>
        </is>
      </c>
      <c r="H4" s="186" t="inlineStr">
        <is>
          <t>Shipping</t>
        </is>
      </c>
      <c r="I4" s="186" t="inlineStr">
        <is>
          <t>Tax Rate</t>
        </is>
      </c>
      <c r="J4" s="186" t="inlineStr">
        <is>
          <t>Subtotal (EC102NU2M)</t>
        </is>
      </c>
      <c r="K4" s="186" t="inlineStr">
        <is>
          <t>Subtotal (EC308-Li)</t>
        </is>
      </c>
      <c r="L4" s="186" t="inlineStr">
        <is>
          <t>Vendor</t>
        </is>
      </c>
      <c r="M4" s="186" t="inlineStr">
        <is>
          <t>Use Case</t>
        </is>
      </c>
      <c r="N4" s="186" t="inlineStr">
        <is>
          <t>Specs</t>
        </is>
      </c>
      <c r="O4" s="186" t="inlineStr">
        <is>
          <t>Cons / Notes</t>
        </is>
      </c>
    </row>
    <row r="5" ht="34" customHeight="1">
      <c r="A5" s="187" t="inlineStr">
        <is>
          <t>Label Printer</t>
        </is>
      </c>
      <c r="B5" s="187" t="inlineStr">
        <is>
          <t>Dymo</t>
        </is>
      </c>
      <c r="C5" s="187" t="inlineStr">
        <is>
          <t>Label Writer 5XL Label Printer</t>
        </is>
      </c>
      <c r="D5" s="187" t="n">
        <v>71701062505</v>
      </c>
      <c r="E5" s="188" t="n">
        <v>2</v>
      </c>
      <c r="F5" s="188" t="n">
        <v>1</v>
      </c>
      <c r="G5" s="189" t="n">
        <v>199.8</v>
      </c>
      <c r="H5" s="187" t="n"/>
      <c r="I5" s="188" t="n"/>
      <c r="J5" s="187" t="n"/>
      <c r="K5" s="187" t="n"/>
      <c r="L5" s="187" t="inlineStr">
        <is>
          <t>Office Depot</t>
        </is>
      </c>
      <c r="M5" s="187" t="inlineStr">
        <is>
          <t>Prints Labels- one for mobile workstation &amp; other for stationary desk @ control desk</t>
        </is>
      </c>
      <c r="N5" s="187" t="inlineStr">
        <is>
          <t>Specs</t>
        </is>
      </c>
      <c r="O5" s="187" t="inlineStr">
        <is>
          <t>Required Propritary Branded Labels</t>
        </is>
      </c>
    </row>
    <row r="6" ht="34" customHeight="1">
      <c r="A6" s="190" t="inlineStr">
        <is>
          <t>Label Printer</t>
        </is>
      </c>
      <c r="B6" s="190" t="inlineStr">
        <is>
          <t>Brother</t>
        </is>
      </c>
      <c r="C6" s="190" t="inlineStr">
        <is>
          <t>Brother QL-1100 Label Printer</t>
        </is>
      </c>
      <c r="D6" s="190" t="n">
        <v>12502648932</v>
      </c>
      <c r="E6" s="191" t="n">
        <v>2</v>
      </c>
      <c r="F6" s="191" t="n">
        <v>1</v>
      </c>
      <c r="G6" s="192" t="n">
        <v>229.99</v>
      </c>
      <c r="H6" s="192" t="n">
        <v>0</v>
      </c>
      <c r="I6" s="193" t="n">
        <v>1.08</v>
      </c>
      <c r="J6" s="190">
        <f>(E6*G6*I6)+H6</f>
        <v/>
      </c>
      <c r="K6" s="190" t="n"/>
      <c r="L6" s="190" t="inlineStr">
        <is>
          <t>Staples</t>
        </is>
      </c>
      <c r="M6" s="190" t="inlineStr">
        <is>
          <t>Prints Labels- one for mobile workstation &amp; other for stationary desk @ control desk</t>
        </is>
      </c>
      <c r="N6" s="190" t="inlineStr">
        <is>
          <t>specs</t>
        </is>
      </c>
      <c r="O6" s="190" t="n"/>
    </row>
    <row r="7" ht="34" customHeight="1">
      <c r="A7" s="187" t="inlineStr">
        <is>
          <t>DK1202 White Die-Cut Direct Thermal Labels. Label Size: 2-3/7" x 4" (62mm x 100mm). 300 Labels/Roll, 12 Rolls/Box, Total 3,600 Labels with 1 Reusable Cartridge Frame</t>
        </is>
      </c>
      <c r="B7" s="187" t="inlineStr">
        <is>
          <t>StickerTag</t>
        </is>
      </c>
      <c r="C7" s="187" t="inlineStr">
        <is>
          <t>DK1202</t>
        </is>
      </c>
      <c r="D7" s="187" t="n"/>
      <c r="E7" s="188" t="n">
        <v>13</v>
      </c>
      <c r="F7" s="188" t="n">
        <v>1</v>
      </c>
      <c r="G7" s="189" t="n">
        <v>36.99</v>
      </c>
      <c r="H7" s="189" t="n">
        <v>0</v>
      </c>
      <c r="I7" s="188">
        <f>I6</f>
        <v/>
      </c>
      <c r="J7" s="187">
        <f>(E7*G7*I7)+H7</f>
        <v/>
      </c>
      <c r="K7" s="187" t="n"/>
      <c r="L7" s="187" t="inlineStr">
        <is>
          <t>Amazon</t>
        </is>
      </c>
      <c r="M7" s="187" t="inlineStr">
        <is>
          <t>Thermal labels for labeling inventory, locations, &amp; printing pack slips.</t>
        </is>
      </c>
      <c r="N7" s="187" t="inlineStr">
        <is>
          <t xml:space="preserve">
Color	White
Size	2.4" x 3.9" - DK1202
Material	Paper
Brand	StickerTag
Finish Type	Adhesive</t>
        </is>
      </c>
      <c r="O7" s="187" t="n"/>
      <c r="P7" s="194" t="inlineStr">
        <is>
          <t>3 users / 2 labels per item / 2 possible labels per process / 18 cases per day per user / 4 days per week</t>
        </is>
      </c>
      <c r="Q7" s="194">
        <f>3*2*2*18*4*52</f>
        <v/>
      </c>
      <c r="R7" s="194">
        <f>Q7/3600</f>
        <v/>
      </c>
      <c r="S7" s="194" t="inlineStr">
        <is>
          <t>Around [  13  ]  - 12 pack cases of 3600 each pack of labels per year, estimating around 45,000 labels needed per year</t>
        </is>
      </c>
    </row>
    <row r="8" ht="34" customHeight="1">
      <c r="A8" s="190" t="inlineStr">
        <is>
          <t>Computer Rolling Cart</t>
        </is>
      </c>
      <c r="B8" s="190" t="inlineStr">
        <is>
          <t>New Castle Systems</t>
        </is>
      </c>
      <c r="C8" s="190" t="inlineStr">
        <is>
          <t>EC102NU2M</t>
        </is>
      </c>
      <c r="D8" s="190" t="inlineStr">
        <is>
          <t>Reference #: 20260904-111210232</t>
        </is>
      </c>
      <c r="E8" s="191" t="n">
        <v>2</v>
      </c>
      <c r="F8" s="191" t="n">
        <v>1</v>
      </c>
      <c r="G8" s="192" t="n">
        <v>3437</v>
      </c>
      <c r="H8" s="190" t="n"/>
      <c r="I8" s="191">
        <f>I7</f>
        <v/>
      </c>
      <c r="J8" s="190">
        <f>(E8*G8*I8)+H8</f>
        <v/>
      </c>
      <c r="K8" s="190" t="n"/>
      <c r="L8" s="190" t="inlineStr">
        <is>
          <t>New Castle Systems</t>
        </is>
      </c>
      <c r="M8" s="190" t="inlineStr">
        <is>
          <t>Mobile Workstation for labeling, shipping, recieving, inventory control, &amp; cycle counting.</t>
        </is>
      </c>
      <c r="N8" s="190" t="inlineStr">
        <is>
          <t>Compact powered cart, PowerSwap Nucleus® MINI lithium system w/(2) 230 Wh swappable batteries &amp; charging station</t>
        </is>
      </c>
      <c r="O8" s="190" t="n"/>
    </row>
    <row r="9" ht="34" customHeight="1">
      <c r="A9" s="187" t="inlineStr">
        <is>
          <t>Computer Rolling Cart</t>
        </is>
      </c>
      <c r="B9" s="187" t="inlineStr">
        <is>
          <t>New Castle Systems</t>
        </is>
      </c>
      <c r="C9" s="187" t="inlineStr">
        <is>
          <t>EC308-LI</t>
        </is>
      </c>
      <c r="D9" s="187" t="inlineStr">
        <is>
          <t>Reference #: 20260904-110942161</t>
        </is>
      </c>
      <c r="E9" s="188" t="n">
        <v>2</v>
      </c>
      <c r="F9" s="188" t="n">
        <v>1</v>
      </c>
      <c r="G9" s="189" t="n">
        <v>3273</v>
      </c>
      <c r="H9" s="187" t="n"/>
      <c r="I9" s="188">
        <f>I8</f>
        <v/>
      </c>
      <c r="J9" s="187" t="n"/>
      <c r="K9" s="187">
        <f>(E9*G9*I9)+H9</f>
        <v/>
      </c>
      <c r="L9" s="187" t="inlineStr">
        <is>
          <t>New Castle Systems</t>
        </is>
      </c>
      <c r="M9" s="187" t="inlineStr">
        <is>
          <t>Mobile Workstation for labeling, shipping, recieving, inventory control, &amp; cycle counting.</t>
        </is>
      </c>
      <c r="N9" s="187" t="inlineStr">
        <is>
          <t>Fixed Lithium / SLA (EC380 / EC380-LI) — 1,200–1,280 Wh, 450W continuous output. Powers a laptop, LCD monitor, and mid-range thermal printer for a full shift.</t>
        </is>
      </c>
      <c r="O9" s="187" t="n"/>
    </row>
    <row r="10" ht="34" customHeight="1">
      <c r="A10" s="190" t="inlineStr">
        <is>
          <t>Middle Shelf</t>
        </is>
      </c>
      <c r="B10" s="190" t="inlineStr">
        <is>
          <t>New Castle Systems</t>
        </is>
      </c>
      <c r="C10" s="190" t="inlineStr">
        <is>
          <t>B423</t>
        </is>
      </c>
      <c r="D10" s="190" t="inlineStr">
        <is>
          <t>Reference #: 20260904-111210232</t>
        </is>
      </c>
      <c r="E10" s="191" t="n">
        <v>2</v>
      </c>
      <c r="F10" s="191" t="n">
        <v>1</v>
      </c>
      <c r="G10" s="192" t="n">
        <v>107</v>
      </c>
      <c r="H10" s="190" t="n"/>
      <c r="I10" s="191">
        <f>I9</f>
        <v/>
      </c>
      <c r="J10" s="190">
        <f>(E10*G10*I10)+H10</f>
        <v/>
      </c>
      <c r="K10" s="190" t="n"/>
      <c r="L10" s="190" t="inlineStr">
        <is>
          <t>New Castle Systems</t>
        </is>
      </c>
      <c r="M10" s="190" t="inlineStr">
        <is>
          <t>Center shelf accessory for storing thermal printer, labels, markers, tape, &amp; other minor materials for shipping &amp; recieving.</t>
        </is>
      </c>
      <c r="N10" s="190" t="n"/>
      <c r="O10" s="190" t="n"/>
    </row>
    <row r="11" ht="34" customHeight="1">
      <c r="A11" s="187" t="inlineStr">
        <is>
          <t>Scanner Holder</t>
        </is>
      </c>
      <c r="B11" s="187" t="inlineStr">
        <is>
          <t>New Castle Systems</t>
        </is>
      </c>
      <c r="C11" s="187" t="inlineStr">
        <is>
          <t>B132</t>
        </is>
      </c>
      <c r="D11" s="187" t="inlineStr">
        <is>
          <t>Reference #: 20260904-111210232</t>
        </is>
      </c>
      <c r="E11" s="188" t="n">
        <v>2</v>
      </c>
      <c r="F11" s="188" t="n">
        <v>1</v>
      </c>
      <c r="G11" s="189" t="n">
        <v>46</v>
      </c>
      <c r="H11" s="187" t="n"/>
      <c r="I11" s="188">
        <f>I10</f>
        <v/>
      </c>
      <c r="J11" s="187">
        <f>(E11*G11*I11)+H11</f>
        <v/>
      </c>
      <c r="K11" s="187" t="n"/>
      <c r="L11" s="187" t="inlineStr">
        <is>
          <t>New Castle Systems</t>
        </is>
      </c>
      <c r="M11" s="187" t="inlineStr">
        <is>
          <t>User friendly &amp; ergonomic scanner holder for hands free scanning &amp; docking of scanning device. Makes for a dedicated station for quick easy access to scanning technologies.</t>
        </is>
      </c>
      <c r="N11" s="187" t="n"/>
      <c r="O11" s="187" t="n"/>
    </row>
    <row r="12" ht="34" customHeight="1">
      <c r="A12" s="190" t="inlineStr">
        <is>
          <t>Laptop / tablet holder w/7" arm (adjustable 10"-17" wide) (12 x 10 x 6"</t>
        </is>
      </c>
      <c r="B12" s="190" t="inlineStr">
        <is>
          <t>New Castle Systems</t>
        </is>
      </c>
      <c r="C12" s="190" t="inlineStr">
        <is>
          <t>B112</t>
        </is>
      </c>
      <c r="D12" s="190" t="inlineStr">
        <is>
          <t>Reference #: 20260904-111210232</t>
        </is>
      </c>
      <c r="E12" s="191" t="n">
        <v>2</v>
      </c>
      <c r="F12" s="191" t="n">
        <v>1</v>
      </c>
      <c r="G12" s="192" t="n">
        <v>213</v>
      </c>
      <c r="H12" s="190" t="n"/>
      <c r="I12" s="191">
        <f>I11</f>
        <v/>
      </c>
      <c r="J12" s="190">
        <f>(E12*G12*I12)+H12</f>
        <v/>
      </c>
      <c r="K12" s="190" t="n"/>
      <c r="L12" s="190" t="inlineStr">
        <is>
          <t>New Castle Systems</t>
        </is>
      </c>
      <c r="M12" s="190" t="inlineStr">
        <is>
          <t>An accessory to the computer rolling cart to secure the device in a mounted armature. This will provide integrity to company electronics while also freeing up space on the mobile work station.</t>
        </is>
      </c>
      <c r="N12" s="190" t="n"/>
      <c r="O12" s="190" t="n"/>
    </row>
    <row r="13" ht="34" customHeight="1">
      <c r="A13" s="187" t="inlineStr">
        <is>
          <t>Tera - 1D 2D Wireless Barcode Scanner with LED Screen and Charging Cradle HW0006</t>
        </is>
      </c>
      <c r="B13" s="187" t="inlineStr">
        <is>
          <t>Tera</t>
        </is>
      </c>
      <c r="C13" s="187" t="inlineStr">
        <is>
          <t>HW0006</t>
        </is>
      </c>
      <c r="D13" s="187">
        <f>"192531066157"</f>
        <v/>
      </c>
      <c r="E13" s="188" t="n">
        <v>2</v>
      </c>
      <c r="F13" s="188" t="n">
        <v>1</v>
      </c>
      <c r="G13" s="189" t="n">
        <v>36.87</v>
      </c>
      <c r="H13" s="187" t="n"/>
      <c r="I13" s="188">
        <f>I12</f>
        <v/>
      </c>
      <c r="J13" s="187">
        <f>(E13*G13*I13)+H13</f>
        <v/>
      </c>
      <c r="K13" s="187" t="n"/>
      <c r="L13" s="187" t="inlineStr">
        <is>
          <t>Best Buy</t>
        </is>
      </c>
      <c r="M13" s="187" t="inlineStr">
        <is>
          <t>Wireless Scan Barcodes for inventory</t>
        </is>
      </c>
      <c r="N13" s="187" t="n"/>
      <c r="O13" s="187" t="inlineStr">
        <is>
          <t>Must Charge; 13 hour operating time.</t>
        </is>
      </c>
    </row>
    <row r="14" ht="34" customHeight="1">
      <c r="A14" s="190" t="inlineStr">
        <is>
          <t>Packing Tape with Acrylic Adhesive | CST20WBA (110 yd, 2.0 Mil)</t>
        </is>
      </c>
      <c r="B14" s="190" t="inlineStr">
        <is>
          <t>TapeProviders</t>
        </is>
      </c>
      <c r="C14" s="190" t="inlineStr">
        <is>
          <t>TP-CSTWBA-PA</t>
        </is>
      </c>
      <c r="D14" s="190" t="inlineStr">
        <is>
          <t>TP CST20WBA-03000-24-110-CLE</t>
        </is>
      </c>
      <c r="E14" s="191">
        <f>ROUND((65/F14),0)</f>
        <v/>
      </c>
      <c r="F14" s="191" t="n">
        <v>36</v>
      </c>
      <c r="G14" s="192" t="n">
        <v>46.26</v>
      </c>
      <c r="H14" s="190" t="n"/>
      <c r="I14" s="191">
        <f>I13</f>
        <v/>
      </c>
      <c r="J14" s="190">
        <f>(E14*G14*I14)+H14</f>
        <v/>
      </c>
      <c r="K14" s="190" t="n"/>
      <c r="L14" s="190" t="inlineStr">
        <is>
          <t>TapeProviders</t>
        </is>
      </c>
      <c r="M14" s="190" t="inlineStr">
        <is>
          <t>Tape used for sealing produts in packaging.</t>
        </is>
      </c>
      <c r="N14" s="190" t="inlineStr">
        <is>
          <t>36 / box ; 3 " wide ; 2 mil thick</t>
        </is>
      </c>
      <c r="O14" s="190" t="n"/>
      <c r="P14" s="194" t="inlineStr">
        <is>
          <t>6 users == 1.25 rolls / week</t>
        </is>
      </c>
      <c r="Q14" s="194">
        <f>1.25*52</f>
        <v/>
      </c>
      <c r="R14" s="194" t="inlineStr">
        <is>
          <t>Around 65 Rolls Tape a year</t>
        </is>
      </c>
    </row>
    <row r="15" ht="34" customHeight="1">
      <c r="A15" s="187" t="inlineStr">
        <is>
          <t>Silent Packing Tape Dispenser - General Grade | CSTD-LN Max Width 3"</t>
        </is>
      </c>
      <c r="B15" s="187" t="inlineStr">
        <is>
          <t>TapeProviders</t>
        </is>
      </c>
      <c r="C15" s="187" t="inlineStr">
        <is>
          <t>CSTD3LN</t>
        </is>
      </c>
      <c r="D15" s="187" t="inlineStr">
        <is>
          <t>WOD CSTD3LN-1</t>
        </is>
      </c>
      <c r="E15" s="188" t="n">
        <v>9</v>
      </c>
      <c r="F15" s="188" t="n">
        <v>1</v>
      </c>
      <c r="G15" s="189" t="n">
        <v>16.85</v>
      </c>
      <c r="H15" s="187" t="n"/>
      <c r="I15" s="188">
        <f>I14</f>
        <v/>
      </c>
      <c r="J15" s="187">
        <f>(E15*G15*I15)+H15</f>
        <v/>
      </c>
      <c r="K15" s="187" t="n"/>
      <c r="L15" s="187" t="inlineStr">
        <is>
          <t>TapeProviders</t>
        </is>
      </c>
      <c r="M15" s="187" t="inlineStr">
        <is>
          <t>Professional and ergonomic tape dispensor tool used for shipping, recieving, and inventory repacking.</t>
        </is>
      </c>
      <c r="N15" s="187" t="n"/>
      <c r="O15" s="187" t="n"/>
      <c r="P15" s="194" t="inlineStr">
        <is>
          <t>4 users == 2.25 reels / 12 months</t>
        </is>
      </c>
      <c r="Q15" s="194">
        <f>4*2.25*1</f>
        <v/>
      </c>
      <c r="R15" s="194" t="inlineStr">
        <is>
          <t>Around 9 Tape Reels a Year</t>
        </is>
      </c>
    </row>
    <row r="16" ht="34" customHeight="1">
      <c r="A16" s="190" t="inlineStr">
        <is>
          <t>100 Pack Permanent Markers Bulk Black Set Fine Point Marker Pens Waterproof Works On Plastic Wood Stone Metal And Glass</t>
        </is>
      </c>
      <c r="B16" s="190" t="inlineStr">
        <is>
          <t>Unbranded</t>
        </is>
      </c>
      <c r="C16" s="190">
        <f>"835645224524"</f>
        <v/>
      </c>
      <c r="D16" s="190" t="n"/>
      <c r="E16" s="191">
        <f>ROUND((156/F16),0)</f>
        <v/>
      </c>
      <c r="F16" s="191" t="n">
        <v>100</v>
      </c>
      <c r="G16" s="192" t="n">
        <v>42.48</v>
      </c>
      <c r="H16" s="192" t="n">
        <v>0</v>
      </c>
      <c r="I16" s="191">
        <f>I15</f>
        <v/>
      </c>
      <c r="J16" s="190">
        <f>(E16*G16*I16)+H16</f>
        <v/>
      </c>
      <c r="K16" s="190" t="n"/>
      <c r="L16" s="190" t="inlineStr">
        <is>
          <t>Walmart</t>
        </is>
      </c>
      <c r="M16" s="190" t="inlineStr">
        <is>
          <t>User to mark pallets, product, and inventorey</t>
        </is>
      </c>
      <c r="N16" s="190" t="n"/>
      <c r="O16" s="190" t="n"/>
      <c r="P16" s="194" t="inlineStr">
        <is>
          <t>6 users / 1.5 markers /  3 weeks</t>
        </is>
      </c>
      <c r="Q16" s="194">
        <f>6*1.5*(52/3)</f>
        <v/>
      </c>
      <c r="R16" s="194" t="inlineStr">
        <is>
          <t>Around 156 markers a year</t>
        </is>
      </c>
    </row>
    <row r="17" ht="34" customHeight="1">
      <c r="A17" s="187" t="inlineStr">
        <is>
          <t>Brother DS-640 Compact Mobile Document Scanner, (Model: DS640)</t>
        </is>
      </c>
      <c r="B17" s="187" t="inlineStr">
        <is>
          <t>Brother</t>
        </is>
      </c>
      <c r="C17" s="187" t="inlineStr">
        <is>
          <t>DS640</t>
        </is>
      </c>
      <c r="D17" s="187" t="inlineStr">
        <is>
          <t>Part #: 78152934</t>
        </is>
      </c>
      <c r="E17" s="188" t="n">
        <v>2</v>
      </c>
      <c r="F17" s="188" t="n">
        <v>1</v>
      </c>
      <c r="G17" s="189" t="n">
        <v>134.99</v>
      </c>
      <c r="H17" s="187" t="n"/>
      <c r="I17" s="188">
        <f>I19</f>
        <v/>
      </c>
      <c r="J17" s="187">
        <f>(E17*G17*I17)+H17</f>
        <v/>
      </c>
      <c r="K17" s="187" t="n"/>
      <c r="L17" s="187" t="n"/>
      <c r="M17" s="187" t="n"/>
      <c r="N17" s="187" t="n"/>
      <c r="O17" s="187" t="n"/>
    </row>
    <row r="18" ht="34" customHeight="1">
      <c r="A18" s="190" t="inlineStr">
        <is>
          <t>Klevor Koncept Safety Knife</t>
        </is>
      </c>
      <c r="B18" s="190" t="inlineStr">
        <is>
          <t>Klevor Koncept</t>
        </is>
      </c>
      <c r="C18" s="190" t="inlineStr">
        <is>
          <t>SC KK-201</t>
        </is>
      </c>
      <c r="D18" s="190" t="n"/>
      <c r="E18" s="191" t="n">
        <v>105</v>
      </c>
      <c r="F18" s="191" t="n">
        <v>1</v>
      </c>
      <c r="G18" s="192" t="n">
        <v>1.79</v>
      </c>
      <c r="H18" s="190" t="n"/>
      <c r="I18" s="191">
        <f>I17</f>
        <v/>
      </c>
      <c r="J18" s="190">
        <f>(E18*G18*I18)+H18</f>
        <v/>
      </c>
      <c r="K18" s="190" t="n"/>
      <c r="L18" s="190" t="n"/>
      <c r="M18" s="190" t="n"/>
      <c r="N18" s="190" t="n"/>
      <c r="O18" s="190" t="n"/>
      <c r="P18" s="194" t="inlineStr">
        <is>
          <t>6 users / 1 blade / 3 weeks</t>
        </is>
      </c>
      <c r="Q18" s="194">
        <f>6*(52/3)</f>
        <v/>
      </c>
      <c r="R18" s="194" t="inlineStr">
        <is>
          <t>Around 104 Safety Blades a year</t>
        </is>
      </c>
    </row>
    <row r="19" ht="34" customHeight="1">
      <c r="A19" s="187" t="inlineStr">
        <is>
          <t>Cardboard Boxes</t>
        </is>
      </c>
      <c r="B19" s="187" t="n"/>
      <c r="C19" s="187" t="n"/>
      <c r="D19" s="187" t="n"/>
      <c r="E19" s="188" t="n"/>
      <c r="F19" s="188" t="n"/>
      <c r="G19" s="187" t="n"/>
      <c r="H19" s="187" t="n"/>
      <c r="I19" s="188">
        <f>I16</f>
        <v/>
      </c>
      <c r="J19" s="187">
        <f>(E19*G19*I19)+H19</f>
        <v/>
      </c>
      <c r="K19" s="187" t="n"/>
      <c r="L19" s="187" t="n"/>
      <c r="M19" s="187" t="n"/>
      <c r="N19" s="187" t="n"/>
      <c r="O19" s="187" t="n"/>
    </row>
    <row r="20" ht="24" customHeight="1">
      <c r="A20" s="195" t="n"/>
      <c r="B20" s="195" t="n"/>
      <c r="C20" s="195" t="n"/>
      <c r="D20" s="195" t="n"/>
      <c r="E20" s="195" t="n"/>
      <c r="F20" s="195" t="n"/>
      <c r="G20" s="195" t="n"/>
      <c r="H20" s="195" t="n"/>
      <c r="I20" s="196" t="inlineStr">
        <is>
          <t>TOTALS →</t>
        </is>
      </c>
      <c r="J20" s="197">
        <f>SUM(J5:J19)</f>
        <v/>
      </c>
      <c r="K20" s="197">
        <f>SUM(J5:J7)+SUM(J10:J19)+K9</f>
        <v/>
      </c>
      <c r="L20" s="195" t="n"/>
      <c r="M20" s="195" t="n"/>
      <c r="N20" s="195" t="n"/>
      <c r="O20" s="195" t="n"/>
    </row>
    <row r="22" ht="22" customHeight="1">
      <c r="A22" s="184" t="inlineStr">
        <is>
          <t>CLOUD SERVICES SUMMARY (see Cloud Expenses for full plan matrix)</t>
        </is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5" t="n"/>
    </row>
    <row r="23" ht="30" customHeight="1">
      <c r="A23" s="198" t="inlineStr">
        <is>
          <t>Scenario</t>
        </is>
      </c>
      <c r="B23" s="198" t="inlineStr">
        <is>
          <t>Monthly</t>
        </is>
      </c>
      <c r="C23" s="198" t="inlineStr">
        <is>
          <t>Annual</t>
        </is>
      </c>
      <c r="D23" s="198" t="inlineStr">
        <is>
          <t>Stack</t>
        </is>
      </c>
      <c r="E23" s="198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</row>
    <row r="24" ht="22" customHeight="1">
      <c r="A24" s="199" t="inlineStr">
        <is>
          <t>Development</t>
        </is>
      </c>
      <c r="B24" s="200">
        <f>'Cloud Expenses'!B6</f>
        <v/>
      </c>
      <c r="C24" s="201">
        <f>'Cloud Expenses'!C6</f>
        <v/>
      </c>
      <c r="D24" s="202" t="inlineStr">
        <is>
          <t>Eco + Essential-0</t>
        </is>
      </c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5" t="n"/>
    </row>
    <row r="25" ht="22" customHeight="1">
      <c r="A25" s="204" t="inlineStr">
        <is>
          <t>Lean Production</t>
        </is>
      </c>
      <c r="B25" s="205">
        <f>'Cloud Expenses'!B7</f>
        <v/>
      </c>
      <c r="C25" s="206">
        <f>'Cloud Expenses'!C7</f>
        <v/>
      </c>
      <c r="D25" s="207" t="inlineStr">
        <is>
          <t>Std-1X + Standard-0 + Bucketeer</t>
        </is>
      </c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5" t="n"/>
    </row>
    <row r="26" ht="22" customHeight="1">
      <c r="A26" s="209" t="inlineStr">
        <is>
          <t>★ Recommended Production</t>
        </is>
      </c>
      <c r="B26" s="210">
        <f>'Cloud Expenses'!B8</f>
        <v/>
      </c>
      <c r="C26" s="211">
        <f>'Cloud Expenses'!C8</f>
        <v/>
      </c>
      <c r="D26" s="212" t="inlineStr">
        <is>
          <t>Std-1X + Premium-0 HA + Bucketeer + ACM</t>
        </is>
      </c>
      <c r="E26" s="246" t="n"/>
      <c r="F26" s="246" t="n"/>
      <c r="G26" s="246" t="n"/>
      <c r="H26" s="246" t="n"/>
      <c r="I26" s="246" t="n"/>
      <c r="J26" s="246" t="n"/>
      <c r="K26" s="246" t="n"/>
      <c r="L26" s="246" t="n"/>
      <c r="M26" s="246" t="n"/>
      <c r="N26" s="246" t="n"/>
      <c r="O26" s="247" t="n"/>
    </row>
    <row r="28">
      <c r="A28" s="214" t="inlineStr">
        <is>
          <t>Tip: Open the Cloud Expenses sheet for dyno/Postgres/add-on comparison rows, HA notes, and pricing sources. Hardware line-item planning notes (label/tape usage) remain in columns P–S where present.</t>
        </is>
      </c>
    </row>
  </sheetData>
  <mergeCells count="8">
    <mergeCell ref="D24:O24"/>
    <mergeCell ref="A2:O2"/>
    <mergeCell ref="D26:O26"/>
    <mergeCell ref="A28:O28"/>
    <mergeCell ref="A1:O1"/>
    <mergeCell ref="A22:O22"/>
    <mergeCell ref="A3:O3"/>
    <mergeCell ref="D25:O25"/>
  </mergeCells>
  <pageMargins left="0.4" right="0.4" top="0.5" bottom="0.5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12" customWidth="1" min="3" max="3"/>
    <col width="22" customWidth="1" min="4" max="4"/>
    <col width="13" customWidth="1" min="5" max="5"/>
    <col width="16" customWidth="1" min="6" max="6"/>
    <col width="12" customWidth="1" min="7" max="7"/>
    <col width="12" customWidth="1" min="8" max="8"/>
    <col width="22" customWidth="1" min="9" max="9"/>
    <col width="16" customWidth="1" min="10" max="10"/>
    <col width="14" customWidth="1" min="11" max="11"/>
    <col width="58" customWidth="1" min="12" max="12"/>
  </cols>
  <sheetData>
    <row r="1" ht="30" customHeight="1">
      <c r="A1" s="180" t="inlineStr">
        <is>
          <t>Saltbox ATL — Cloud Expenses</t>
        </is>
      </c>
    </row>
    <row r="2" ht="18" customHeight="1">
      <c r="A2" s="182" t="inlineStr">
        <is>
          <t>Heroku migration budget  ·  Security · Connectivity · Redundancy  ·  Oct 2026</t>
        </is>
      </c>
    </row>
    <row r="4" ht="22" customHeight="1">
      <c r="A4" s="184" t="inlineStr">
        <is>
          <t>COST SUMMARY</t>
        </is>
      </c>
      <c r="B4" s="244" t="n"/>
      <c r="C4" s="244" t="n"/>
      <c r="D4" s="244" t="n"/>
      <c r="E4" s="244" t="n"/>
      <c r="F4" s="244" t="n"/>
      <c r="G4" s="244" t="n"/>
      <c r="H4" s="244" t="n"/>
      <c r="I4" s="244" t="n"/>
      <c r="J4" s="244" t="n"/>
      <c r="K4" s="244" t="n"/>
      <c r="L4" s="245" t="n"/>
    </row>
    <row r="5" ht="30" customHeight="1">
      <c r="A5" s="198" t="inlineStr">
        <is>
          <t>Scenario</t>
        </is>
      </c>
      <c r="B5" s="198" t="inlineStr">
        <is>
          <t>Monthly</t>
        </is>
      </c>
      <c r="C5" s="198" t="inlineStr">
        <is>
          <t>Annual</t>
        </is>
      </c>
      <c r="D5" s="198" t="inlineStr">
        <is>
          <t>Stack Composition</t>
        </is>
      </c>
      <c r="E5" s="198" t="n"/>
      <c r="F5" s="198" t="n"/>
      <c r="G5" s="198" t="n"/>
      <c r="H5" s="198" t="n"/>
      <c r="I5" s="198" t="n"/>
      <c r="J5" s="198" t="n"/>
      <c r="K5" s="198" t="n"/>
      <c r="L5" s="198" t="n"/>
    </row>
    <row r="6" ht="22" customHeight="1">
      <c r="A6" s="215" t="inlineStr">
        <is>
          <t>Development</t>
        </is>
      </c>
      <c r="B6" s="200">
        <f>E13+E19</f>
        <v/>
      </c>
      <c r="C6" s="216">
        <f>B6*12</f>
        <v/>
      </c>
      <c r="D6" s="217" t="inlineStr">
        <is>
          <t>Eco dyno + Essential-0 Postgres</t>
        </is>
      </c>
      <c r="E6" s="244" t="n"/>
      <c r="F6" s="244" t="n"/>
      <c r="G6" s="244" t="n"/>
      <c r="H6" s="244" t="n"/>
      <c r="I6" s="244" t="n"/>
      <c r="J6" s="244" t="n"/>
      <c r="K6" s="244" t="n"/>
      <c r="L6" s="245" t="n"/>
    </row>
    <row r="7" ht="22" customHeight="1">
      <c r="A7" s="218" t="inlineStr">
        <is>
          <t>Lean Production</t>
        </is>
      </c>
      <c r="B7" s="205">
        <f>E15+E22+E25</f>
        <v/>
      </c>
      <c r="C7" s="219">
        <f>B7*12</f>
        <v/>
      </c>
      <c r="D7" s="220" t="inlineStr">
        <is>
          <t>Standard-1X + Standard-0 + Bucketeer</t>
        </is>
      </c>
      <c r="E7" s="244" t="n"/>
      <c r="F7" s="244" t="n"/>
      <c r="G7" s="244" t="n"/>
      <c r="H7" s="244" t="n"/>
      <c r="I7" s="244" t="n"/>
      <c r="J7" s="244" t="n"/>
      <c r="K7" s="244" t="n"/>
      <c r="L7" s="245" t="n"/>
    </row>
    <row r="8" ht="22" customHeight="1">
      <c r="A8" s="221" t="inlineStr">
        <is>
          <t>★ Recommended Production</t>
        </is>
      </c>
      <c r="B8" s="210">
        <f>E15+E23+E25+E26</f>
        <v/>
      </c>
      <c r="C8" s="222">
        <f>B8*12</f>
        <v/>
      </c>
      <c r="D8" s="223" t="inlineStr">
        <is>
          <t>Standard-1X + Premium-0 HA + Bucketeer + ACM</t>
        </is>
      </c>
      <c r="E8" s="246" t="n"/>
      <c r="F8" s="246" t="n"/>
      <c r="G8" s="246" t="n"/>
      <c r="H8" s="246" t="n"/>
      <c r="I8" s="246" t="n"/>
      <c r="J8" s="246" t="n"/>
      <c r="K8" s="246" t="n"/>
      <c r="L8" s="247" t="n"/>
    </row>
    <row r="9" ht="18" customHeight="1">
      <c r="A9" s="214" t="inlineStr">
        <is>
          <t xml:space="preserve">  Legend:  Green = Recommended   ·   Blue = Lean production   ·   Amber = Development only   ·   Neon/Netlify are reference-only (excluded from Heroku totals)</t>
        </is>
      </c>
    </row>
    <row r="11" ht="30" customHeight="1">
      <c r="A11" s="186" t="inlineStr">
        <is>
          <t>Service / Description</t>
        </is>
      </c>
      <c r="B11" s="186" t="inlineStr">
        <is>
          <t>Vendor</t>
        </is>
      </c>
      <c r="C11" s="186" t="inlineStr">
        <is>
          <t>Category</t>
        </is>
      </c>
      <c r="D11" s="186" t="inlineStr">
        <is>
          <t>Plan</t>
        </is>
      </c>
      <c r="E11" s="186" t="inlineStr">
        <is>
          <t>Monthly Cost</t>
        </is>
      </c>
      <c r="F11" s="186" t="inlineStr">
        <is>
          <t>RAM / Specs</t>
        </is>
      </c>
      <c r="G11" s="186" t="inlineStr">
        <is>
          <t>Storage GB</t>
        </is>
      </c>
      <c r="H11" s="186" t="inlineStr">
        <is>
          <t>Connections</t>
        </is>
      </c>
      <c r="I11" s="186" t="inlineStr">
        <is>
          <t>HA / Redundancy</t>
        </is>
      </c>
      <c r="J11" s="186" t="inlineStr">
        <is>
          <t>Max Downtime</t>
        </is>
      </c>
      <c r="K11" s="186" t="inlineStr">
        <is>
          <t>Budget Role</t>
        </is>
      </c>
      <c r="L11" s="186" t="inlineStr">
        <is>
          <t>Notes</t>
        </is>
      </c>
    </row>
    <row r="12" ht="22" customHeight="1">
      <c r="A12" s="184" t="inlineStr">
        <is>
          <t>1 · HEROKU DYNOS — App compute (Next.js web process)</t>
        </is>
      </c>
      <c r="B12" s="244" t="n"/>
      <c r="C12" s="244" t="n"/>
      <c r="D12" s="244" t="n"/>
      <c r="E12" s="244" t="n"/>
      <c r="F12" s="244" t="n"/>
      <c r="G12" s="244" t="n"/>
      <c r="H12" s="244" t="n"/>
      <c r="I12" s="244" t="n"/>
      <c r="J12" s="244" t="n"/>
      <c r="K12" s="244" t="n"/>
      <c r="L12" s="245" t="n"/>
    </row>
    <row r="13" ht="34" customHeight="1">
      <c r="A13" s="217" t="inlineStr">
        <is>
          <t>Shared Eco dyno for Saltbox Next.js</t>
        </is>
      </c>
      <c r="B13" s="217" t="inlineStr">
        <is>
          <t>Heroku</t>
        </is>
      </c>
      <c r="C13" s="217" t="inlineStr">
        <is>
          <t>Dynos</t>
        </is>
      </c>
      <c r="D13" s="217" t="inlineStr">
        <is>
          <t>Eco</t>
        </is>
      </c>
      <c r="E13" s="224" t="n">
        <v>5</v>
      </c>
      <c r="F13" s="225" t="inlineStr">
        <is>
          <t>0.5 GB</t>
        </is>
      </c>
      <c r="G13" s="225" t="inlineStr">
        <is>
          <t>—</t>
        </is>
      </c>
      <c r="H13" s="225" t="inlineStr">
        <is>
          <t>—</t>
        </is>
      </c>
      <c r="I13" s="225" t="inlineStr">
        <is>
          <t>No (sleeps)</t>
        </is>
      </c>
      <c r="J13" s="225" t="inlineStr">
        <is>
          <t>Sleeps after 30 min</t>
        </is>
      </c>
      <c r="K13" s="226" t="inlineStr">
        <is>
          <t>Development</t>
        </is>
      </c>
      <c r="L13" s="217" t="inlineStr">
        <is>
          <t>Dev only — cold starts break warehouse connectivity.</t>
        </is>
      </c>
    </row>
    <row r="14" ht="34" customHeight="1">
      <c r="A14" s="190" t="inlineStr">
        <is>
          <t>Always-on entry dyno</t>
        </is>
      </c>
      <c r="B14" s="190" t="inlineStr">
        <is>
          <t>Heroku</t>
        </is>
      </c>
      <c r="C14" s="190" t="inlineStr">
        <is>
          <t>Dynos</t>
        </is>
      </c>
      <c r="D14" s="190" t="inlineStr">
        <is>
          <t>Basic</t>
        </is>
      </c>
      <c r="E14" s="192" t="n">
        <v>7</v>
      </c>
      <c r="F14" s="191" t="inlineStr">
        <is>
          <t>0.5 GB</t>
        </is>
      </c>
      <c r="G14" s="191" t="inlineStr">
        <is>
          <t>—</t>
        </is>
      </c>
      <c r="H14" s="191" t="inlineStr">
        <is>
          <t>—</t>
        </is>
      </c>
      <c r="I14" s="191" t="inlineStr">
        <is>
          <t>Limited metrics</t>
        </is>
      </c>
      <c r="J14" s="191" t="inlineStr">
        <is>
          <t>Always on</t>
        </is>
      </c>
      <c r="K14" s="191" t="inlineStr">
        <is>
          <t>Comparison</t>
        </is>
      </c>
      <c r="L14" s="190" t="inlineStr">
        <is>
          <t>Always-on but lacks production metrics and zero-downtime deploys.</t>
        </is>
      </c>
    </row>
    <row r="15" ht="34" customHeight="1">
      <c r="A15" s="227" t="inlineStr">
        <is>
          <t>Production web dyno</t>
        </is>
      </c>
      <c r="B15" s="227" t="inlineStr">
        <is>
          <t>Heroku</t>
        </is>
      </c>
      <c r="C15" s="227" t="inlineStr">
        <is>
          <t>Dynos</t>
        </is>
      </c>
      <c r="D15" s="227" t="inlineStr">
        <is>
          <t>Standard-1X</t>
        </is>
      </c>
      <c r="E15" s="228" t="n">
        <v>25</v>
      </c>
      <c r="F15" s="229" t="inlineStr">
        <is>
          <t>0.5 GB</t>
        </is>
      </c>
      <c r="G15" s="229" t="inlineStr">
        <is>
          <t>—</t>
        </is>
      </c>
      <c r="H15" s="229" t="inlineStr">
        <is>
          <t>—</t>
        </is>
      </c>
      <c r="I15" s="229" t="inlineStr">
        <is>
          <t>Metrics + preboot</t>
        </is>
      </c>
      <c r="J15" s="229" t="inlineStr">
        <is>
          <t>Always on</t>
        </is>
      </c>
      <c r="K15" s="230" t="inlineStr">
        <is>
          <t>Recommended</t>
        </is>
      </c>
      <c r="L15" s="227" t="inlineStr">
        <is>
          <t>Recommended prod dyno: metrics, zero-downtime deploys, free ACM SSL.</t>
        </is>
      </c>
    </row>
    <row r="16" ht="34" customHeight="1">
      <c r="A16" s="190" t="inlineStr">
        <is>
          <t>Larger production dyno (memory headroom)</t>
        </is>
      </c>
      <c r="B16" s="190" t="inlineStr">
        <is>
          <t>Heroku</t>
        </is>
      </c>
      <c r="C16" s="190" t="inlineStr">
        <is>
          <t>Dynos</t>
        </is>
      </c>
      <c r="D16" s="190" t="inlineStr">
        <is>
          <t>Standard-2X</t>
        </is>
      </c>
      <c r="E16" s="192" t="n">
        <v>50</v>
      </c>
      <c r="F16" s="191" t="inlineStr">
        <is>
          <t>1 GB</t>
        </is>
      </c>
      <c r="G16" s="191" t="inlineStr">
        <is>
          <t>—</t>
        </is>
      </c>
      <c r="H16" s="191" t="inlineStr">
        <is>
          <t>—</t>
        </is>
      </c>
      <c r="I16" s="191" t="inlineStr">
        <is>
          <t>Metrics + preboot</t>
        </is>
      </c>
      <c r="J16" s="191" t="inlineStr">
        <is>
          <t>Always on</t>
        </is>
      </c>
      <c r="K16" s="191" t="inlineStr">
        <is>
          <t>Comparison</t>
        </is>
      </c>
      <c r="L16" s="190" t="inlineStr">
        <is>
          <t>Scale-up if Next.js OOMs on Standard-1X. Not needed at launch.</t>
        </is>
      </c>
    </row>
    <row r="17" ht="34" customHeight="1">
      <c r="A17" s="187" t="inlineStr">
        <is>
          <t>Dedicated high-performance dyno</t>
        </is>
      </c>
      <c r="B17" s="187" t="inlineStr">
        <is>
          <t>Heroku</t>
        </is>
      </c>
      <c r="C17" s="187" t="inlineStr">
        <is>
          <t>Dynos</t>
        </is>
      </c>
      <c r="D17" s="187" t="inlineStr">
        <is>
          <t>Performance-M</t>
        </is>
      </c>
      <c r="E17" s="189" t="n">
        <v>250</v>
      </c>
      <c r="F17" s="188" t="inlineStr">
        <is>
          <t>2.5 GB dedicated</t>
        </is>
      </c>
      <c r="G17" s="188" t="inlineStr">
        <is>
          <t>—</t>
        </is>
      </c>
      <c r="H17" s="188" t="inlineStr">
        <is>
          <t>—</t>
        </is>
      </c>
      <c r="I17" s="188" t="inlineStr">
        <is>
          <t>Dedicated CPU</t>
        </is>
      </c>
      <c r="J17" s="188" t="inlineStr">
        <is>
          <t>Always on</t>
        </is>
      </c>
      <c r="K17" s="188" t="inlineStr">
        <is>
          <t>Comparison</t>
        </is>
      </c>
      <c r="L17" s="187" t="inlineStr">
        <is>
          <t>Overkill for Saltbox ATL scale. Pricing comparison only.</t>
        </is>
      </c>
    </row>
    <row r="18" ht="22" customHeight="1">
      <c r="A18" s="184" t="inlineStr">
        <is>
          <t>2 · HEROKU POSTGRES — Managed database (DATABASE_URL)</t>
        </is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5" t="n"/>
    </row>
    <row r="19" ht="34" customHeight="1">
      <c r="A19" s="217" t="inlineStr">
        <is>
          <t>Shared starter Postgres</t>
        </is>
      </c>
      <c r="B19" s="217" t="inlineStr">
        <is>
          <t>Heroku</t>
        </is>
      </c>
      <c r="C19" s="217" t="inlineStr">
        <is>
          <t>Postgres</t>
        </is>
      </c>
      <c r="D19" s="217" t="inlineStr">
        <is>
          <t>Essential-0</t>
        </is>
      </c>
      <c r="E19" s="224" t="n">
        <v>5</v>
      </c>
      <c r="F19" s="225" t="inlineStr">
        <is>
          <t>Shared</t>
        </is>
      </c>
      <c r="G19" s="225" t="n">
        <v>1</v>
      </c>
      <c r="H19" s="225" t="n">
        <v>20</v>
      </c>
      <c r="I19" s="225" t="inlineStr">
        <is>
          <t>No</t>
        </is>
      </c>
      <c r="J19" s="225" t="inlineStr">
        <is>
          <t>~4 hours</t>
        </is>
      </c>
      <c r="K19" s="226" t="inlineStr">
        <is>
          <t>Development</t>
        </is>
      </c>
      <c r="L19" s="217" t="inlineStr">
        <is>
          <t>Dev/staging only. Encryption at rest. No fork/follow/HA.</t>
        </is>
      </c>
    </row>
    <row r="20" ht="34" customHeight="1">
      <c r="A20" s="190" t="inlineStr">
        <is>
          <t>Shared Postgres (more storage)</t>
        </is>
      </c>
      <c r="B20" s="190" t="inlineStr">
        <is>
          <t>Heroku</t>
        </is>
      </c>
      <c r="C20" s="190" t="inlineStr">
        <is>
          <t>Postgres</t>
        </is>
      </c>
      <c r="D20" s="190" t="inlineStr">
        <is>
          <t>Essential-1</t>
        </is>
      </c>
      <c r="E20" s="192" t="n">
        <v>9</v>
      </c>
      <c r="F20" s="191" t="inlineStr">
        <is>
          <t>Shared</t>
        </is>
      </c>
      <c r="G20" s="191" t="n">
        <v>10</v>
      </c>
      <c r="H20" s="191" t="n">
        <v>20</v>
      </c>
      <c r="I20" s="191" t="inlineStr">
        <is>
          <t>No</t>
        </is>
      </c>
      <c r="J20" s="191" t="inlineStr">
        <is>
          <t>~4 hours</t>
        </is>
      </c>
      <c r="K20" s="191" t="inlineStr">
        <is>
          <t>Comparison</t>
        </is>
      </c>
      <c r="L20" s="190" t="inlineStr">
        <is>
          <t>Dev with more storage headroom.</t>
        </is>
      </c>
    </row>
    <row r="21" ht="34" customHeight="1">
      <c r="A21" s="187" t="inlineStr">
        <is>
          <t>Shared Postgres (largest Essential)</t>
        </is>
      </c>
      <c r="B21" s="187" t="inlineStr">
        <is>
          <t>Heroku</t>
        </is>
      </c>
      <c r="C21" s="187" t="inlineStr">
        <is>
          <t>Postgres</t>
        </is>
      </c>
      <c r="D21" s="187" t="inlineStr">
        <is>
          <t>Essential-2</t>
        </is>
      </c>
      <c r="E21" s="189" t="n">
        <v>20</v>
      </c>
      <c r="F21" s="188" t="inlineStr">
        <is>
          <t>Shared</t>
        </is>
      </c>
      <c r="G21" s="188" t="n">
        <v>32</v>
      </c>
      <c r="H21" s="188" t="n">
        <v>40</v>
      </c>
      <c r="I21" s="188" t="inlineStr">
        <is>
          <t>No</t>
        </is>
      </c>
      <c r="J21" s="188" t="inlineStr">
        <is>
          <t>~4 hours</t>
        </is>
      </c>
      <c r="K21" s="188" t="inlineStr">
        <is>
          <t>Comparison</t>
        </is>
      </c>
      <c r="L21" s="187" t="inlineStr">
        <is>
          <t>Still no HA — not for production redundancy goals.</t>
        </is>
      </c>
    </row>
    <row r="22" ht="34" customHeight="1">
      <c r="A22" s="220" t="inlineStr">
        <is>
          <t>Dedicated Postgres — lean production</t>
        </is>
      </c>
      <c r="B22" s="220" t="inlineStr">
        <is>
          <t>Heroku</t>
        </is>
      </c>
      <c r="C22" s="220" t="inlineStr">
        <is>
          <t>Postgres</t>
        </is>
      </c>
      <c r="D22" s="220" t="inlineStr">
        <is>
          <t>Standard-0</t>
        </is>
      </c>
      <c r="E22" s="231" t="n">
        <v>50</v>
      </c>
      <c r="F22" s="232" t="inlineStr">
        <is>
          <t>4 GB RAM</t>
        </is>
      </c>
      <c r="G22" s="232" t="n">
        <v>64</v>
      </c>
      <c r="H22" s="232" t="n">
        <v>200</v>
      </c>
      <c r="I22" s="232" t="inlineStr">
        <is>
          <t>Forks; no auto HA</t>
        </is>
      </c>
      <c r="J22" s="232" t="inlineStr">
        <is>
          <t>~1 hour</t>
        </is>
      </c>
      <c r="K22" s="233" t="inlineStr">
        <is>
          <t>Lean</t>
        </is>
      </c>
      <c r="L22" s="220" t="inlineStr">
        <is>
          <t>Continuous protection + 4-day rollback. No automatic failover.</t>
        </is>
      </c>
    </row>
    <row r="23" ht="34" customHeight="1">
      <c r="A23" s="227" t="inlineStr">
        <is>
          <t>Dedicated Postgres — High Availability</t>
        </is>
      </c>
      <c r="B23" s="227" t="inlineStr">
        <is>
          <t>Heroku</t>
        </is>
      </c>
      <c r="C23" s="227" t="inlineStr">
        <is>
          <t>Postgres</t>
        </is>
      </c>
      <c r="D23" s="227" t="inlineStr">
        <is>
          <t>Premium-0</t>
        </is>
      </c>
      <c r="E23" s="228" t="n">
        <v>200</v>
      </c>
      <c r="F23" s="229" t="inlineStr">
        <is>
          <t>4 GB RAM</t>
        </is>
      </c>
      <c r="G23" s="229" t="n">
        <v>64</v>
      </c>
      <c r="H23" s="229" t="n">
        <v>200</v>
      </c>
      <c r="I23" s="229" t="inlineStr">
        <is>
          <t>Automatic HA failover</t>
        </is>
      </c>
      <c r="J23" s="229" t="inlineStr">
        <is>
          <t>~15 minutes</t>
        </is>
      </c>
      <c r="K23" s="230" t="inlineStr">
        <is>
          <t>Recommended</t>
        </is>
      </c>
      <c r="L23" s="227" t="inlineStr">
        <is>
          <t>HA standby, 7-day rollback, forks/followers — matches redundancy goals.</t>
        </is>
      </c>
    </row>
    <row r="24" ht="22" customHeight="1">
      <c r="A24" s="184" t="inlineStr">
        <is>
          <t>3 · HEROKU ADD-ONS — Storage, TLS, logging</t>
        </is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5" t="n"/>
    </row>
    <row r="25" ht="34" customHeight="1">
      <c r="A25" s="227" t="inlineStr">
        <is>
          <t>S3 object storage for inventory / shipping photos</t>
        </is>
      </c>
      <c r="B25" s="227" t="inlineStr">
        <is>
          <t>Bucketeer</t>
        </is>
      </c>
      <c r="C25" s="227" t="inlineStr">
        <is>
          <t>Add-ons</t>
        </is>
      </c>
      <c r="D25" s="227" t="inlineStr">
        <is>
          <t>Hobbyist</t>
        </is>
      </c>
      <c r="E25" s="228" t="n">
        <v>5</v>
      </c>
      <c r="F25" s="229" t="inlineStr">
        <is>
          <t>S3 bucket</t>
        </is>
      </c>
      <c r="G25" s="229" t="inlineStr">
        <is>
          <t>—</t>
        </is>
      </c>
      <c r="H25" s="229" t="inlineStr">
        <is>
          <t>—</t>
        </is>
      </c>
      <c r="I25" s="229" t="inlineStr">
        <is>
          <t>Durable object storage</t>
        </is>
      </c>
      <c r="J25" s="229" t="inlineStr">
        <is>
          <t>—</t>
        </is>
      </c>
      <c r="K25" s="230" t="inlineStr">
        <is>
          <t>Recommended</t>
        </is>
      </c>
      <c r="L25" s="227" t="inlineStr">
        <is>
          <t>Required — dyno disk is ephemeral and cannot keep data/photos/.</t>
        </is>
      </c>
    </row>
    <row r="26" ht="34" customHeight="1">
      <c r="A26" s="227" t="inlineStr">
        <is>
          <t>Automated Certificate Management (custom domain TLS)</t>
        </is>
      </c>
      <c r="B26" s="227" t="inlineStr">
        <is>
          <t>Heroku ACM SSL</t>
        </is>
      </c>
      <c r="C26" s="227" t="inlineStr">
        <is>
          <t>Add-ons</t>
        </is>
      </c>
      <c r="D26" s="227" t="inlineStr">
        <is>
          <t>Included w/ paid dynos</t>
        </is>
      </c>
      <c r="E26" s="228" t="n">
        <v>0</v>
      </c>
      <c r="F26" s="229" t="inlineStr">
        <is>
          <t>—</t>
        </is>
      </c>
      <c r="G26" s="229" t="inlineStr">
        <is>
          <t>—</t>
        </is>
      </c>
      <c r="H26" s="229" t="inlineStr">
        <is>
          <t>—</t>
        </is>
      </c>
      <c r="I26" s="229" t="inlineStr">
        <is>
          <t>TLS in transit</t>
        </is>
      </c>
      <c r="J26" s="229" t="inlineStr">
        <is>
          <t>—</t>
        </is>
      </c>
      <c r="K26" s="230" t="inlineStr">
        <is>
          <t>Recommended</t>
        </is>
      </c>
      <c r="L26" s="227" t="inlineStr">
        <is>
          <t>Included at $0 with Basic/Standard/Performance dynos.</t>
        </is>
      </c>
    </row>
    <row r="27" ht="34" customHeight="1">
      <c r="A27" s="187" t="inlineStr">
        <is>
          <t>Optional log drain for ops visibility</t>
        </is>
      </c>
      <c r="B27" s="187" t="inlineStr">
        <is>
          <t>Papertrail</t>
        </is>
      </c>
      <c r="C27" s="187" t="inlineStr">
        <is>
          <t>Add-ons</t>
        </is>
      </c>
      <c r="D27" s="187" t="inlineStr">
        <is>
          <t>Choklad (free)</t>
        </is>
      </c>
      <c r="E27" s="189" t="n">
        <v>0</v>
      </c>
      <c r="F27" s="188" t="inlineStr">
        <is>
          <t>—</t>
        </is>
      </c>
      <c r="G27" s="188" t="inlineStr">
        <is>
          <t>—</t>
        </is>
      </c>
      <c r="H27" s="188" t="inlineStr">
        <is>
          <t>—</t>
        </is>
      </c>
      <c r="I27" s="188" t="inlineStr">
        <is>
          <t>Log retention</t>
        </is>
      </c>
      <c r="J27" s="188" t="inlineStr">
        <is>
          <t>—</t>
        </is>
      </c>
      <c r="K27" s="188" t="inlineStr">
        <is>
          <t>Optional</t>
        </is>
      </c>
      <c r="L27" s="187" t="inlineStr">
        <is>
          <t>Start free; upgrade later if log volume grows (~$7+).</t>
        </is>
      </c>
    </row>
    <row r="28" ht="34" customHeight="1">
      <c r="A28" s="190" t="inlineStr">
        <is>
          <t>Redis / Key-Value Store — not required</t>
        </is>
      </c>
      <c r="B28" s="190" t="inlineStr">
        <is>
          <t>Heroku Key-Value Store</t>
        </is>
      </c>
      <c r="C28" s="190" t="inlineStr">
        <is>
          <t>Add-ons</t>
        </is>
      </c>
      <c r="D28" s="190" t="inlineStr">
        <is>
          <t>Not provisioned</t>
        </is>
      </c>
      <c r="E28" s="192" t="n">
        <v>0</v>
      </c>
      <c r="F28" s="191" t="inlineStr">
        <is>
          <t>—</t>
        </is>
      </c>
      <c r="G28" s="191" t="inlineStr">
        <is>
          <t>—</t>
        </is>
      </c>
      <c r="H28" s="191" t="inlineStr">
        <is>
          <t>—</t>
        </is>
      </c>
      <c r="I28" s="191" t="inlineStr">
        <is>
          <t>N/A</t>
        </is>
      </c>
      <c r="J28" s="191" t="inlineStr">
        <is>
          <t>—</t>
        </is>
      </c>
      <c r="K28" s="191" t="inlineStr">
        <is>
          <t>Not needed</t>
        </is>
      </c>
      <c r="L28" s="190" t="inlineStr">
        <is>
          <t>App uses httpOnly cookie sessions. Mini would be $3/mo if ever needed.</t>
        </is>
      </c>
    </row>
    <row r="29" ht="22" customHeight="1">
      <c r="A29" s="184" t="inlineStr">
        <is>
          <t>4 · DEVELOPER TOOLING (tracked separately — not in Heroku totals)</t>
        </is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5" t="n"/>
    </row>
    <row r="30" ht="34" customHeight="1">
      <c r="A30" s="190" t="inlineStr">
        <is>
          <t>AI-powered code editor</t>
        </is>
      </c>
      <c r="B30" s="190" t="inlineStr">
        <is>
          <t>Cursor</t>
        </is>
      </c>
      <c r="C30" s="190" t="inlineStr">
        <is>
          <t>Tooling</t>
        </is>
      </c>
      <c r="D30" s="190" t="inlineStr">
        <is>
          <t>Individual</t>
        </is>
      </c>
      <c r="E30" s="192" t="n">
        <v>20</v>
      </c>
      <c r="F30" s="191" t="inlineStr">
        <is>
          <t>—</t>
        </is>
      </c>
      <c r="G30" s="191" t="inlineStr">
        <is>
          <t>—</t>
        </is>
      </c>
      <c r="H30" s="191" t="inlineStr">
        <is>
          <t>—</t>
        </is>
      </c>
      <c r="I30" s="191" t="inlineStr">
        <is>
          <t>—</t>
        </is>
      </c>
      <c r="J30" s="191" t="inlineStr">
        <is>
          <t>—</t>
        </is>
      </c>
      <c r="K30" s="191" t="inlineStr">
        <is>
          <t>Tooling</t>
        </is>
      </c>
      <c r="L30" s="190" t="inlineStr">
        <is>
          <t>Not a Heroku runtime cost.</t>
        </is>
      </c>
    </row>
    <row r="31" ht="34" customHeight="1">
      <c r="A31" s="187" t="inlineStr">
        <is>
          <t>AI-powered code editor (team / Pro)</t>
        </is>
      </c>
      <c r="B31" s="187" t="inlineStr">
        <is>
          <t>Cursor</t>
        </is>
      </c>
      <c r="C31" s="187" t="inlineStr">
        <is>
          <t>Tooling</t>
        </is>
      </c>
      <c r="D31" s="187" t="inlineStr">
        <is>
          <t>Pro (current)</t>
        </is>
      </c>
      <c r="E31" s="189" t="n">
        <v>60</v>
      </c>
      <c r="F31" s="188" t="inlineStr">
        <is>
          <t>—</t>
        </is>
      </c>
      <c r="G31" s="188" t="inlineStr">
        <is>
          <t>—</t>
        </is>
      </c>
      <c r="H31" s="188" t="inlineStr">
        <is>
          <t>—</t>
        </is>
      </c>
      <c r="I31" s="188" t="inlineStr">
        <is>
          <t>—</t>
        </is>
      </c>
      <c r="J31" s="188" t="inlineStr">
        <is>
          <t>—</t>
        </is>
      </c>
      <c r="K31" s="188" t="inlineStr">
        <is>
          <t>Tooling</t>
        </is>
      </c>
      <c r="L31" s="187" t="inlineStr">
        <is>
          <t>Current development plan — track outside cloud runtime budget.</t>
        </is>
      </c>
    </row>
    <row r="33" ht="22" customHeight="1">
      <c r="A33" s="184" t="inlineStr">
        <is>
          <t>5 · REFERENCE ONLY — alternatives considered</t>
        </is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5" t="n"/>
    </row>
    <row r="34" ht="34" customHeight="1">
      <c r="A34" s="234" t="inlineStr">
        <is>
          <t>Serverless Postgres (skip if on Heroku Postgres)</t>
        </is>
      </c>
      <c r="B34" s="234" t="inlineStr">
        <is>
          <t>Neon</t>
        </is>
      </c>
      <c r="C34" s="234" t="inlineStr">
        <is>
          <t>Reference</t>
        </is>
      </c>
      <c r="D34" s="234" t="inlineStr">
        <is>
          <t>Launch (usage)</t>
        </is>
      </c>
      <c r="E34" s="235" t="n">
        <v>22</v>
      </c>
      <c r="F34" s="236" t="inlineStr">
        <is>
          <t>Usage-based</t>
        </is>
      </c>
      <c r="G34" s="236" t="n">
        <v>5</v>
      </c>
      <c r="H34" s="236" t="inlineStr">
        <is>
          <t>—</t>
        </is>
      </c>
      <c r="I34" s="236" t="inlineStr">
        <is>
          <t>Scale-to-zero</t>
        </is>
      </c>
      <c r="J34" s="236" t="inlineStr">
        <is>
          <t>—</t>
        </is>
      </c>
      <c r="K34" s="236" t="inlineStr">
        <is>
          <t>Reference</t>
        </is>
      </c>
      <c r="L34" s="234" t="inlineStr">
        <is>
          <t>Do not double-count with Heroku Postgres.</t>
        </is>
      </c>
    </row>
    <row r="35" ht="34" customHeight="1">
      <c r="A35" s="234" t="inlineStr">
        <is>
          <t>Static frontend host — redundant with Heroku</t>
        </is>
      </c>
      <c r="B35" s="234" t="inlineStr">
        <is>
          <t>Netlify</t>
        </is>
      </c>
      <c r="C35" s="234" t="inlineStr">
        <is>
          <t>Reference</t>
        </is>
      </c>
      <c r="D35" s="234" t="inlineStr">
        <is>
          <t>—</t>
        </is>
      </c>
      <c r="E35" s="235" t="n">
        <v>0</v>
      </c>
      <c r="F35" s="236" t="inlineStr">
        <is>
          <t>—</t>
        </is>
      </c>
      <c r="G35" s="236" t="inlineStr">
        <is>
          <t>—</t>
        </is>
      </c>
      <c r="H35" s="236" t="inlineStr">
        <is>
          <t>—</t>
        </is>
      </c>
      <c r="I35" s="236" t="inlineStr">
        <is>
          <t>—</t>
        </is>
      </c>
      <c r="J35" s="236" t="inlineStr">
        <is>
          <t>—</t>
        </is>
      </c>
      <c r="K35" s="236" t="inlineStr">
        <is>
          <t>Skip</t>
        </is>
      </c>
      <c r="L35" s="234" t="inlineStr">
        <is>
          <t>Heroku already hosts frontend + backend.</t>
        </is>
      </c>
    </row>
    <row r="37" ht="28" customHeight="1">
      <c r="A37" s="194" t="inlineStr">
        <is>
          <t>Sources: heroku.com/pricing · elements.heroku.com/addons/heroku-postgresql · elements.heroku.com/addons/bucketeer   |   App: Next.js + Postgres (DATABASE_URL); cookie sessions (no Redis); photos require object storage on Heroku.</t>
        </is>
      </c>
    </row>
  </sheetData>
  <mergeCells count="13">
    <mergeCell ref="D7:L7"/>
    <mergeCell ref="A24:L24"/>
    <mergeCell ref="A2:L2"/>
    <mergeCell ref="A29:L29"/>
    <mergeCell ref="A33:L33"/>
    <mergeCell ref="A1:L1"/>
    <mergeCell ref="A37:L37"/>
    <mergeCell ref="A9:L9"/>
    <mergeCell ref="A18:L18"/>
    <mergeCell ref="D8:L8"/>
    <mergeCell ref="D6:L6"/>
    <mergeCell ref="A12:L12"/>
    <mergeCell ref="A4:L4"/>
  </mergeCells>
  <pageMargins left="0.4" right="0.4" top="0.5" bottom="0.5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55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6" customWidth="1" min="11" max="11"/>
  </cols>
  <sheetData>
    <row r="1" ht="30" customHeight="1">
      <c r="A1" s="180" t="inlineStr">
        <is>
          <t>Saltbox ATL — Hours &amp; Cost Assumptions</t>
        </is>
      </c>
    </row>
    <row r="2" ht="18" customHeight="1">
      <c r="A2" s="182" t="inlineStr">
        <is>
          <t>Calendar constants, Neon CU-hour reference, and Heroku flat-rate scenario totals</t>
        </is>
      </c>
    </row>
    <row r="4" ht="22" customHeight="1">
      <c r="A4" s="184" t="inlineStr">
        <is>
          <t>1 · CALENDAR &amp; WORKWEEK CONSTANTS</t>
        </is>
      </c>
      <c r="B4" s="244" t="n"/>
      <c r="C4" s="244" t="n"/>
      <c r="D4" s="244" t="n"/>
      <c r="E4" s="244" t="n"/>
      <c r="F4" s="244" t="n"/>
      <c r="G4" s="244" t="n"/>
      <c r="H4" s="244" t="n"/>
      <c r="I4" s="244" t="n"/>
      <c r="J4" s="244" t="n"/>
      <c r="K4" s="245" t="n"/>
    </row>
    <row r="5" ht="30" customHeight="1">
      <c r="A5" s="186" t="inlineStr">
        <is>
          <t>Days / Year</t>
        </is>
      </c>
      <c r="B5" s="186" t="inlineStr">
        <is>
          <t>Months / Year</t>
        </is>
      </c>
      <c r="C5" s="186" t="inlineStr">
        <is>
          <t>Weeks / Year</t>
        </is>
      </c>
      <c r="D5" s="186" t="inlineStr">
        <is>
          <t>Weeks / Month</t>
        </is>
      </c>
      <c r="E5" s="186" t="inlineStr">
        <is>
          <t>Avg Days / Month</t>
        </is>
      </c>
      <c r="F5" s="186" t="inlineStr">
        <is>
          <t>Days / Week</t>
        </is>
      </c>
      <c r="G5" s="186" t="inlineStr">
        <is>
          <t>Hours / Day</t>
        </is>
      </c>
      <c r="H5" s="186" t="inlineStr">
        <is>
          <t>Hours / Week</t>
        </is>
      </c>
      <c r="I5" s="186" t="inlineStr">
        <is>
          <t>Work Days / Week</t>
        </is>
      </c>
      <c r="J5" s="186" t="inlineStr">
        <is>
          <t>Work Hours / Day</t>
        </is>
      </c>
      <c r="K5" s="186" t="inlineStr">
        <is>
          <t>Work Hours / Week</t>
        </is>
      </c>
    </row>
    <row r="6" ht="22" customHeight="1">
      <c r="A6" s="237" t="n">
        <v>365.2422</v>
      </c>
      <c r="B6" s="188" t="n">
        <v>12</v>
      </c>
      <c r="C6" s="237">
        <f>((52.14*3)+52.29)/4</f>
        <v/>
      </c>
      <c r="D6" s="237">
        <f>C6/B6</f>
        <v/>
      </c>
      <c r="E6" s="237">
        <f>(A6/C6)*D6</f>
        <v/>
      </c>
      <c r="F6" s="237">
        <f>A6/C6</f>
        <v/>
      </c>
      <c r="G6" s="188" t="n">
        <v>24</v>
      </c>
      <c r="H6" s="237">
        <f>F6*G6</f>
        <v/>
      </c>
      <c r="I6" s="188" t="n">
        <v>6</v>
      </c>
      <c r="J6" s="188" t="n">
        <v>8</v>
      </c>
      <c r="K6" s="237">
        <f>I6*J6</f>
        <v/>
      </c>
    </row>
    <row r="7">
      <c r="A7" s="214" t="inlineStr">
        <is>
          <t>Warehouse ops assume 6 work days/week × 8 hours/day. Heroku Standard/Premium dynos stay always-on (unlike Neon scale-to-zero).</t>
        </is>
      </c>
    </row>
    <row r="9" ht="22" customHeight="1">
      <c r="A9" s="184" t="inlineStr">
        <is>
          <t>2 · NEON POSTGRES (CU-hour reference — optional alternative)</t>
        </is>
      </c>
      <c r="B9" s="244" t="n"/>
      <c r="C9" s="244" t="n"/>
      <c r="D9" s="244" t="n"/>
      <c r="E9" s="244" t="n"/>
      <c r="F9" s="244" t="n"/>
      <c r="G9" s="244" t="n"/>
      <c r="H9" s="244" t="n"/>
      <c r="I9" s="244" t="n"/>
      <c r="J9" s="244" t="n"/>
      <c r="K9" s="245" t="n"/>
    </row>
    <row r="10" ht="30" customHeight="1">
      <c r="A10" s="198" t="inlineStr">
        <is>
          <t>Plan</t>
        </is>
      </c>
      <c r="B10" s="198" t="inlineStr">
        <is>
          <t>$ / CU-Hour</t>
        </is>
      </c>
      <c r="C10" s="198" t="inlineStr">
        <is>
          <t>Hours in 6-day work week</t>
        </is>
      </c>
      <c r="D10" s="198" t="inlineStr">
        <is>
          <t>Hours / Day</t>
        </is>
      </c>
      <c r="E10" s="198" t="n"/>
      <c r="F10" s="198" t="n"/>
      <c r="G10" s="198" t="n"/>
      <c r="H10" s="198" t="n"/>
      <c r="I10" s="198" t="n"/>
      <c r="J10" s="198" t="n"/>
      <c r="K10" s="198" t="n"/>
    </row>
    <row r="11" ht="34" customHeight="1">
      <c r="A11" s="188" t="inlineStr">
        <is>
          <t>LAUNCH</t>
        </is>
      </c>
      <c r="B11" s="238">
        <f>0.106</f>
        <v/>
      </c>
      <c r="C11" s="188">
        <f>J6*6</f>
        <v/>
      </c>
      <c r="D11" s="188" t="n">
        <v>8</v>
      </c>
      <c r="E11" s="187" t="n"/>
      <c r="F11" s="187" t="n"/>
      <c r="G11" s="187" t="n"/>
      <c r="H11" s="187" t="n"/>
      <c r="I11" s="187" t="n"/>
      <c r="J11" s="187" t="n"/>
      <c r="K11" s="187" t="n"/>
    </row>
    <row r="12" ht="34" customHeight="1">
      <c r="A12" s="191" t="inlineStr">
        <is>
          <t>SCALE</t>
        </is>
      </c>
      <c r="B12" s="239">
        <f>0.222</f>
        <v/>
      </c>
      <c r="C12" s="190" t="n"/>
      <c r="D12" s="190" t="n"/>
      <c r="E12" s="190" t="n"/>
      <c r="F12" s="190" t="n"/>
      <c r="G12" s="190" t="n"/>
      <c r="H12" s="190" t="n"/>
      <c r="I12" s="190" t="n"/>
      <c r="J12" s="190" t="n"/>
      <c r="K12" s="190" t="n"/>
    </row>
    <row r="13">
      <c r="A13" s="214" t="inlineStr">
        <is>
          <t>Neon formula: Monthly CU-hours = average CU size × hours compute runs in the month.  Monthly compute cost = monthly CU-hours × CU-hour price.  Do not apply these formulas to Heroku plans.</t>
        </is>
      </c>
    </row>
    <row r="15" ht="22" customHeight="1">
      <c r="A15" s="184" t="inlineStr">
        <is>
          <t>3 · HEROKU SCENARIOS (flat monthly plans — linked to Cloud Expenses)</t>
        </is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5" t="n"/>
    </row>
    <row r="16" ht="30" customHeight="1">
      <c r="A16" s="198" t="inlineStr">
        <is>
          <t>Scenario</t>
        </is>
      </c>
      <c r="B16" s="198" t="inlineStr">
        <is>
          <t>Monthly $</t>
        </is>
      </c>
      <c r="C16" s="198" t="inlineStr">
        <is>
          <t>Annual $</t>
        </is>
      </c>
      <c r="D16" s="198" t="inlineStr">
        <is>
          <t>Composition</t>
        </is>
      </c>
      <c r="E16" s="198" t="n"/>
      <c r="F16" s="198" t="n"/>
      <c r="G16" s="198" t="n"/>
      <c r="H16" s="198" t="n"/>
      <c r="I16" s="198" t="n"/>
      <c r="J16" s="198" t="n"/>
      <c r="K16" s="198" t="n"/>
    </row>
    <row r="17" ht="22" customHeight="1">
      <c r="A17" s="199" t="inlineStr">
        <is>
          <t>Development</t>
        </is>
      </c>
      <c r="B17" s="200">
        <f>'Cloud Expenses'!B6</f>
        <v/>
      </c>
      <c r="C17" s="201">
        <f>'Cloud Expenses'!C6</f>
        <v/>
      </c>
      <c r="D17" s="202" t="inlineStr">
        <is>
          <t>Eco $5 + Essential-0 $5</t>
        </is>
      </c>
      <c r="E17" s="244" t="n"/>
      <c r="F17" s="244" t="n"/>
      <c r="G17" s="244" t="n"/>
      <c r="H17" s="244" t="n"/>
      <c r="I17" s="244" t="n"/>
      <c r="J17" s="244" t="n"/>
      <c r="K17" s="245" t="n"/>
    </row>
    <row r="18" ht="22" customHeight="1">
      <c r="A18" s="204" t="inlineStr">
        <is>
          <t>Lean Production</t>
        </is>
      </c>
      <c r="B18" s="205">
        <f>'Cloud Expenses'!B7</f>
        <v/>
      </c>
      <c r="C18" s="206">
        <f>'Cloud Expenses'!C7</f>
        <v/>
      </c>
      <c r="D18" s="207" t="inlineStr">
        <is>
          <t>Standard-1X $25 + Standard-0 $50 + Bucketeer $5</t>
        </is>
      </c>
      <c r="E18" s="244" t="n"/>
      <c r="F18" s="244" t="n"/>
      <c r="G18" s="244" t="n"/>
      <c r="H18" s="244" t="n"/>
      <c r="I18" s="244" t="n"/>
      <c r="J18" s="244" t="n"/>
      <c r="K18" s="245" t="n"/>
    </row>
    <row r="19" ht="22" customHeight="1">
      <c r="A19" s="209" t="inlineStr">
        <is>
          <t>★ Recommended Production</t>
        </is>
      </c>
      <c r="B19" s="210">
        <f>'Cloud Expenses'!B8</f>
        <v/>
      </c>
      <c r="C19" s="211">
        <f>'Cloud Expenses'!C8</f>
        <v/>
      </c>
      <c r="D19" s="212" t="inlineStr">
        <is>
          <t>Standard-1X $25 + Premium-0 $200 + Bucketeer $5 + ACM $0</t>
        </is>
      </c>
      <c r="E19" s="246" t="n"/>
      <c r="F19" s="246" t="n"/>
      <c r="G19" s="246" t="n"/>
      <c r="H19" s="246" t="n"/>
      <c r="I19" s="246" t="n"/>
      <c r="J19" s="246" t="n"/>
      <c r="K19" s="247" t="n"/>
    </row>
  </sheetData>
  <mergeCells count="10">
    <mergeCell ref="D17:K17"/>
    <mergeCell ref="A4:K4"/>
    <mergeCell ref="A15:K15"/>
    <mergeCell ref="D19:K19"/>
    <mergeCell ref="A7:K7"/>
    <mergeCell ref="A2:K2"/>
    <mergeCell ref="A13:K13"/>
    <mergeCell ref="A1:K1"/>
    <mergeCell ref="A9:K9"/>
    <mergeCell ref="D18:K18"/>
  </mergeCells>
  <pageMargins left="0.4" right="0.4" top="0.5" bottom="0.5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30" customHeight="1">
      <c r="A1" s="180" t="inlineStr">
        <is>
          <t>Saltbox ATL — Cardboard Box Sizes</t>
        </is>
      </c>
    </row>
    <row r="2" ht="18" customHeight="1">
      <c r="A2" s="182" t="inlineStr">
        <is>
          <t>Cube calculations for packaging planning  ·  dimensions in inches</t>
        </is>
      </c>
    </row>
    <row r="4" ht="22" customHeight="1">
      <c r="A4" s="184" t="inlineStr">
        <is>
          <t>BOX DIMENSIONS</t>
        </is>
      </c>
      <c r="B4" s="244" t="n"/>
      <c r="C4" s="244" t="n"/>
      <c r="D4" s="244" t="n"/>
      <c r="E4" s="244" t="n"/>
      <c r="F4" s="244" t="n"/>
      <c r="G4" s="244" t="n"/>
      <c r="H4" s="245" t="n"/>
    </row>
    <row r="5" ht="30" customHeight="1">
      <c r="A5" s="186" t="inlineStr">
        <is>
          <t>Length (in)</t>
        </is>
      </c>
      <c r="B5" s="186" t="inlineStr">
        <is>
          <t>Width (in)</t>
        </is>
      </c>
      <c r="C5" s="186" t="inlineStr">
        <is>
          <t>Height (in)</t>
        </is>
      </c>
      <c r="D5" s="186" t="inlineStr">
        <is>
          <t>Cube (in³)</t>
        </is>
      </c>
      <c r="E5" s="186" t="inlineStr">
        <is>
          <t>Average Cube</t>
        </is>
      </c>
      <c r="F5" s="186" t="inlineStr">
        <is>
          <t>Median Cube</t>
        </is>
      </c>
      <c r="G5" s="186" t="inlineStr">
        <is>
          <t>Max Cube</t>
        </is>
      </c>
      <c r="H5" s="186" t="inlineStr">
        <is>
          <t>Min Cube</t>
        </is>
      </c>
    </row>
    <row r="6" ht="22" customHeight="1">
      <c r="A6" s="240" t="n">
        <v>21.25</v>
      </c>
      <c r="B6" s="240" t="n">
        <v>21.25</v>
      </c>
      <c r="C6" s="240" t="n">
        <v>8</v>
      </c>
      <c r="D6" s="240">
        <f>PRODUCT(A6:C6)</f>
        <v/>
      </c>
      <c r="E6" s="240">
        <f>AVERAGE($D$6:$D$13)</f>
        <v/>
      </c>
      <c r="F6" s="240">
        <f>MEDIAN($D$6:$D$13)</f>
        <v/>
      </c>
      <c r="G6" s="240">
        <f>MAX($D$6:$D$13)</f>
        <v/>
      </c>
      <c r="H6" s="240">
        <f>MIN($D$6:$D$13)</f>
        <v/>
      </c>
    </row>
    <row r="7" ht="22" customHeight="1">
      <c r="A7" s="237" t="n">
        <v>23.75</v>
      </c>
      <c r="B7" s="237" t="n">
        <v>16</v>
      </c>
      <c r="C7" s="237" t="n">
        <v>11.5</v>
      </c>
      <c r="D7" s="237">
        <f>PRODUCT(A7:C7)</f>
        <v/>
      </c>
      <c r="E7" s="188" t="n"/>
      <c r="F7" s="188" t="n"/>
      <c r="G7" s="188" t="n"/>
      <c r="H7" s="188" t="n"/>
    </row>
    <row r="8" ht="22" customHeight="1">
      <c r="A8" s="240" t="n">
        <v>15.5</v>
      </c>
      <c r="B8" s="240" t="n">
        <v>15.5</v>
      </c>
      <c r="C8" s="240" t="n">
        <v>11.5</v>
      </c>
      <c r="D8" s="240">
        <f>PRODUCT(A8:C8)</f>
        <v/>
      </c>
      <c r="E8" s="191" t="n"/>
      <c r="F8" s="191" t="n"/>
      <c r="G8" s="191" t="n"/>
      <c r="H8" s="191" t="n"/>
    </row>
    <row r="9" ht="22" customHeight="1">
      <c r="A9" s="237" t="n">
        <v>18.25</v>
      </c>
      <c r="B9" s="237" t="n">
        <v>18.25</v>
      </c>
      <c r="C9" s="237" t="n">
        <v>18</v>
      </c>
      <c r="D9" s="237">
        <f>PRODUCT(A9:C9)</f>
        <v/>
      </c>
      <c r="E9" s="188" t="n"/>
      <c r="F9" s="188" t="n"/>
      <c r="G9" s="188" t="n"/>
      <c r="H9" s="188" t="n"/>
    </row>
    <row r="10" ht="22" customHeight="1">
      <c r="A10" s="240" t="n">
        <v>10.25</v>
      </c>
      <c r="B10" s="240" t="n">
        <v>10.25</v>
      </c>
      <c r="C10" s="240" t="n">
        <v>6</v>
      </c>
      <c r="D10" s="240">
        <f>PRODUCT(A10:C10)</f>
        <v/>
      </c>
      <c r="E10" s="191" t="n"/>
      <c r="F10" s="191" t="n"/>
      <c r="G10" s="191" t="n"/>
      <c r="H10" s="191" t="n"/>
    </row>
    <row r="11" ht="22" customHeight="1">
      <c r="A11" s="237" t="n">
        <v>11.25</v>
      </c>
      <c r="B11" s="237" t="n">
        <v>11.25</v>
      </c>
      <c r="C11" s="237" t="n">
        <v>7.5</v>
      </c>
      <c r="D11" s="237">
        <f>PRODUCT(A11:C11)</f>
        <v/>
      </c>
      <c r="E11" s="188" t="n"/>
      <c r="F11" s="188" t="n"/>
      <c r="G11" s="188" t="n"/>
      <c r="H11" s="188" t="n"/>
    </row>
    <row r="12" ht="22" customHeight="1">
      <c r="A12" s="240" t="n">
        <v>24</v>
      </c>
      <c r="B12" s="240" t="n">
        <v>24</v>
      </c>
      <c r="C12" s="240" t="n">
        <v>7.5</v>
      </c>
      <c r="D12" s="240">
        <f>PRODUCT(A12:C12)</f>
        <v/>
      </c>
      <c r="E12" s="191" t="n"/>
      <c r="F12" s="191" t="n"/>
      <c r="G12" s="191" t="n"/>
      <c r="H12" s="191" t="n"/>
    </row>
    <row r="13" ht="22" customHeight="1">
      <c r="A13" s="237" t="n">
        <v>12.5</v>
      </c>
      <c r="B13" s="237" t="n">
        <v>12.5</v>
      </c>
      <c r="C13" s="237" t="n">
        <v>12.5</v>
      </c>
      <c r="D13" s="237">
        <f>PRODUCT(A13:C13)</f>
        <v/>
      </c>
      <c r="E13" s="188" t="n"/>
      <c r="F13" s="188" t="n"/>
      <c r="G13" s="188" t="n"/>
      <c r="H13" s="188" t="n"/>
    </row>
    <row r="15" ht="22" customHeight="1">
      <c r="A15" s="184" t="inlineStr">
        <is>
          <t>SUMMARY STATS (from cube column)</t>
        </is>
      </c>
      <c r="B15" s="244" t="n"/>
      <c r="C15" s="244" t="n"/>
      <c r="D15" s="244" t="n"/>
      <c r="E15" s="244" t="n"/>
      <c r="F15" s="244" t="n"/>
      <c r="G15" s="244" t="n"/>
      <c r="H15" s="245" t="n"/>
    </row>
    <row r="16" ht="30" customHeight="1">
      <c r="A16" s="198" t="inlineStr">
        <is>
          <t>Metric</t>
        </is>
      </c>
      <c r="B16" s="198" t="inlineStr">
        <is>
          <t>Value (in³)</t>
        </is>
      </c>
      <c r="C16" s="198" t="n"/>
      <c r="D16" s="198" t="n"/>
      <c r="E16" s="198" t="n"/>
      <c r="F16" s="198" t="n"/>
      <c r="G16" s="198" t="n"/>
      <c r="H16" s="198" t="n"/>
    </row>
    <row r="17" ht="20" customHeight="1">
      <c r="A17" s="187" t="inlineStr">
        <is>
          <t>Average Cube</t>
        </is>
      </c>
      <c r="B17" s="241">
        <f>AVERAGE(D6:D13)</f>
        <v/>
      </c>
    </row>
    <row r="18" ht="20" customHeight="1">
      <c r="A18" s="220" t="inlineStr">
        <is>
          <t>Median Cube</t>
        </is>
      </c>
      <c r="B18" s="242">
        <f>MEDIAN(D6:D13)</f>
        <v/>
      </c>
    </row>
    <row r="19" ht="20" customHeight="1">
      <c r="A19" s="187" t="inlineStr">
        <is>
          <t>Max Cube</t>
        </is>
      </c>
      <c r="B19" s="241">
        <f>MAX(D6:D13)</f>
        <v/>
      </c>
    </row>
    <row r="20" ht="20" customHeight="1">
      <c r="A20" s="190" t="inlineStr">
        <is>
          <t>Min Cube</t>
        </is>
      </c>
      <c r="B20" s="243">
        <f>MIN(D6:D13)</f>
        <v/>
      </c>
    </row>
  </sheetData>
  <mergeCells count="4">
    <mergeCell ref="A15:H15"/>
    <mergeCell ref="A4:H4"/>
    <mergeCell ref="A2:H2"/>
    <mergeCell ref="A1:H1"/>
  </mergeCells>
  <pageMargins left="0.4" right="0.4" top="0.5" bottom="0.5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2026-09-03T13:00:49Z</dcterms:created>
  <dcterms:modified xsi:type="dcterms:W3CDTF">2026-10-02T15:34:18Z</dcterms:modified>
</cp:coreProperties>
</file>