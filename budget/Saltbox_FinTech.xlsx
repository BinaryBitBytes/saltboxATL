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1" autoFilterDateGrouping="1"/>
  </bookViews>
  <sheets>
    <sheet name="Sheet1" sheetId="1" state="visible" r:id="rId1"/>
    <sheet name="Cloud Expenses" sheetId="2" state="visible" r:id="rId2"/>
    <sheet name="Cardboard Sizes" sheetId="3" state="visible" r:id="rId3"/>
    <sheet name="Hours" sheetId="4" state="visible" r:id="rId4"/>
  </sheets>
  <definedNames>
    <definedName name="Hours.WorkWeek">Hours!$K$2:$K$2</definedName>
    <definedName name="Monthly.CU.Hours">'Cloud Expenses'!$U$2:$U$2</definedName>
    <definedName name="Weeks.Month">Hours!$D$2:$D$2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([$$-409]* #,##0.00_);_([$$-409]* \(#,##0.00\);_([$$-409]* &quot;-&quot;??_);_(@_)"/>
    <numFmt numFmtId="166" formatCode="&quot;$&quot;#,##0.00"/>
  </numFmts>
  <fonts count="36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0"/>
      <sz val="11"/>
      <u val="single"/>
      <scheme val="minor"/>
    </font>
    <font>
      <name val="Arial"/>
      <b val="1"/>
      <color theme="1"/>
      <sz val="16"/>
    </font>
    <font>
      <name val="Arial"/>
      <b val="1"/>
      <color theme="1"/>
      <sz val="12"/>
    </font>
    <font>
      <name val="Google Sans"/>
      <charset val="1"/>
      <b val="1"/>
      <color theme="1"/>
      <sz val="12"/>
    </font>
    <font>
      <name val="Arial"/>
      <b val="1"/>
      <color theme="1"/>
      <sz val="12"/>
      <u val="single"/>
    </font>
    <font>
      <name val="Arial"/>
      <b val="1"/>
      <i val="1"/>
      <color theme="1"/>
      <sz val="12"/>
    </font>
    <font>
      <name val="Calibri"/>
      <family val="2"/>
      <b val="1"/>
      <color theme="1"/>
      <sz val="12"/>
      <scheme val="minor"/>
    </font>
    <font>
      <name val="Arial"/>
      <charset val="1"/>
      <b val="1"/>
      <color rgb="FF000000"/>
      <sz val="12"/>
    </font>
    <font>
      <name val="Aparajita"/>
      <b val="1"/>
      <color theme="10"/>
      <sz val="18"/>
      <u val="single"/>
    </font>
    <font>
      <name val="Aparajita"/>
      <b val="1"/>
      <color theme="1"/>
      <sz val="18"/>
    </font>
    <font>
      <name val="Aharoni"/>
      <b val="1"/>
      <color theme="1"/>
      <sz val="11"/>
    </font>
    <font>
      <name val="Aharoni"/>
      <b val="1"/>
      <color theme="1"/>
      <sz val="18"/>
    </font>
    <font>
      <name val="Inter"/>
      <charset val="1"/>
      <color rgb="FF94979E"/>
      <sz val="11"/>
    </font>
    <font>
      <name val="Inter"/>
      <charset val="1"/>
      <b val="1"/>
      <color rgb="FF94979E"/>
      <sz val="11"/>
    </font>
    <font>
      <name val="Inter"/>
      <b val="1"/>
      <color rgb="FF94979E"/>
      <sz val="11"/>
    </font>
    <font>
      <name val="Arial"/>
      <color rgb="FF000000"/>
      <sz val="12"/>
    </font>
    <font>
      <name val="Arial"/>
      <b val="1"/>
      <i val="1"/>
      <color rgb="FF000000"/>
      <sz val="14"/>
      <u val="single"/>
    </font>
    <font>
      <name val="Nunito Sans"/>
      <charset val="1"/>
      <family val="2"/>
      <b val="1"/>
      <color rgb="FF465A6F"/>
      <sz val="11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Arial"/>
      <b val="1"/>
      <i val="1"/>
      <color theme="1"/>
      <sz val="20"/>
    </font>
    <font>
      <name val="Calibri"/>
      <family val="2"/>
      <b val="1"/>
      <color theme="1"/>
      <sz val="14"/>
      <scheme val="minor"/>
    </font>
    <font>
      <name val="Arial"/>
      <b val="1"/>
      <color theme="1"/>
      <sz val="14"/>
    </font>
    <font>
      <name val="Calibri"/>
      <family val="2"/>
      <color theme="10"/>
      <sz val="14"/>
      <u val="single"/>
      <scheme val="minor"/>
    </font>
    <font>
      <name val="Aparajita"/>
      <b val="1"/>
      <color theme="10"/>
      <sz val="14"/>
      <u val="single"/>
    </font>
    <font>
      <name val="Aparajita"/>
      <b val="1"/>
      <color theme="1"/>
      <sz val="14"/>
    </font>
    <font>
      <name val="Inter"/>
      <charset val="1"/>
      <b val="1"/>
      <color rgb="FF94979E"/>
      <sz val="14"/>
    </font>
    <font>
      <name val="Inter"/>
      <charset val="1"/>
      <color rgb="FF94979E"/>
      <sz val="14"/>
    </font>
    <font>
      <name val="Inter"/>
      <b val="1"/>
      <color rgb="FF94979E"/>
      <sz val="14"/>
    </font>
    <font>
      <name val="Calibri"/>
      <family val="2"/>
      <color theme="1"/>
      <sz val="14"/>
      <scheme val="minor"/>
    </font>
    <font/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18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1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5" fontId="4" fillId="2" borderId="2" applyAlignment="1" pivotButton="0" quotePrefix="0" xfId="0">
      <alignment horizontal="center" vertical="center" wrapText="1"/>
    </xf>
    <xf numFmtId="165" fontId="7" fillId="2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165" fontId="4" fillId="2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5" fontId="4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10" fillId="2" borderId="2" applyAlignment="1" pivotButton="0" quotePrefix="0" xfId="1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2" fillId="2" borderId="5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10" fontId="4" fillId="2" borderId="2" applyAlignment="1" pivotButton="0" quotePrefix="0" xfId="0">
      <alignment horizontal="center" vertical="center" wrapText="1"/>
    </xf>
    <xf numFmtId="10" fontId="7" fillId="2" borderId="2" applyAlignment="1" pivotButton="0" quotePrefix="0" xfId="0">
      <alignment horizontal="center" vertical="center" wrapText="1"/>
    </xf>
    <xf numFmtId="10" fontId="4" fillId="2" borderId="5" applyAlignment="1" pivotButton="0" quotePrefix="0" xfId="0">
      <alignment horizontal="center" vertical="center" wrapText="1"/>
    </xf>
    <xf numFmtId="0" fontId="7" fillId="2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3" borderId="5" applyAlignment="1" pivotButton="0" quotePrefix="0" xfId="0">
      <alignment vertical="center" wrapText="1"/>
    </xf>
    <xf numFmtId="0" fontId="4" fillId="2" borderId="7" applyAlignment="1" pivotButton="0" quotePrefix="0" xfId="0">
      <alignment vertical="center" wrapText="1"/>
    </xf>
    <xf numFmtId="0" fontId="4" fillId="2" borderId="10" applyAlignment="1" pivotButton="0" quotePrefix="0" xfId="0">
      <alignment vertical="center" wrapText="1"/>
    </xf>
    <xf numFmtId="0" fontId="4" fillId="2" borderId="8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2" borderId="6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165" fontId="4" fillId="2" borderId="6" applyAlignment="1" pivotButton="0" quotePrefix="0" xfId="0">
      <alignment horizontal="center" vertical="center"/>
    </xf>
    <xf numFmtId="165" fontId="4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165" fontId="4" fillId="2" borderId="5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2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wrapText="1"/>
    </xf>
    <xf numFmtId="165" fontId="4" fillId="2" borderId="5" applyAlignment="1" pivotButton="0" quotePrefix="0" xfId="0">
      <alignment vertical="center" wrapText="1"/>
    </xf>
    <xf numFmtId="0" fontId="4" fillId="2" borderId="5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7" fillId="2" borderId="5" applyAlignment="1" pivotButton="0" quotePrefix="0" xfId="0">
      <alignment horizontal="center" vertical="center" wrapText="1"/>
    </xf>
    <xf numFmtId="10" fontId="7" fillId="2" borderId="5" applyAlignment="1" pivotButton="0" quotePrefix="0" xfId="0">
      <alignment horizontal="center" vertical="center" wrapText="1"/>
    </xf>
    <xf numFmtId="164" fontId="23" fillId="4" borderId="5" applyAlignment="1" pivotButton="0" quotePrefix="0" xfId="0">
      <alignment horizontal="center" vertical="center" wrapText="1"/>
    </xf>
    <xf numFmtId="164" fontId="23" fillId="5" borderId="5" applyAlignment="1" pivotButton="0" quotePrefix="0" xfId="0">
      <alignment horizontal="center" vertical="center" wrapText="1"/>
    </xf>
    <xf numFmtId="165" fontId="4" fillId="2" borderId="2" applyAlignment="1" pivotButton="0" quotePrefix="0" xfId="0">
      <alignment vertical="center" wrapText="1"/>
    </xf>
    <xf numFmtId="165" fontId="7" fillId="2" borderId="2" applyAlignment="1" pivotButton="0" quotePrefix="0" xfId="0">
      <alignment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1" applyAlignment="1" pivotButton="0" quotePrefix="0" xfId="0">
      <alignment vertical="center" wrapText="1"/>
    </xf>
    <xf numFmtId="0" fontId="4" fillId="2" borderId="9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5" fillId="2" borderId="2" applyAlignment="1" pivotButton="0" quotePrefix="0" xfId="0">
      <alignment horizontal="center" vertical="center" wrapText="1"/>
    </xf>
    <xf numFmtId="0" fontId="26" fillId="2" borderId="2" applyAlignment="1" pivotButton="0" quotePrefix="0" xfId="1">
      <alignment horizontal="center" vertical="center" wrapText="1"/>
    </xf>
    <xf numFmtId="165" fontId="25" fillId="2" borderId="2" applyAlignment="1" pivotButton="0" quotePrefix="0" xfId="0">
      <alignment horizontal="center" vertical="center"/>
    </xf>
    <xf numFmtId="166" fontId="25" fillId="2" borderId="2" applyAlignment="1" pivotButton="0" quotePrefix="0" xfId="0">
      <alignment horizontal="center" vertical="center" wrapText="1"/>
    </xf>
    <xf numFmtId="165" fontId="25" fillId="2" borderId="2" applyAlignment="1" pivotButton="0" quotePrefix="0" xfId="0">
      <alignment horizontal="center" vertical="center" wrapText="1"/>
    </xf>
    <xf numFmtId="0" fontId="27" fillId="2" borderId="2" applyAlignment="1" pivotButton="0" quotePrefix="0" xfId="1">
      <alignment horizontal="center" vertical="center" wrapText="1"/>
    </xf>
    <xf numFmtId="0" fontId="28" fillId="2" borderId="12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 wrapText="1"/>
    </xf>
    <xf numFmtId="165" fontId="4" fillId="2" borderId="2" applyAlignment="1" pivotButton="0" quotePrefix="0" xfId="0">
      <alignment horizontal="center" vertical="center" wrapText="1"/>
    </xf>
    <xf numFmtId="165" fontId="4" fillId="2" borderId="2" applyAlignment="1" pivotButton="0" quotePrefix="0" xfId="0">
      <alignment vertical="center" wrapText="1"/>
    </xf>
    <xf numFmtId="165" fontId="7" fillId="2" borderId="2" applyAlignment="1" pivotButton="0" quotePrefix="0" xfId="0">
      <alignment horizontal="center" vertical="center" wrapText="1"/>
    </xf>
    <xf numFmtId="165" fontId="7" fillId="2" borderId="2" applyAlignment="1" pivotButton="0" quotePrefix="0" xfId="0">
      <alignment vertical="center" wrapText="1"/>
    </xf>
    <xf numFmtId="165" fontId="4" fillId="2" borderId="5" applyAlignment="1" pivotButton="0" quotePrefix="0" xfId="0">
      <alignment horizontal="center" vertical="center" wrapText="1"/>
    </xf>
    <xf numFmtId="165" fontId="4" fillId="2" borderId="5" applyAlignment="1" pivotButton="0" quotePrefix="0" xfId="0">
      <alignment vertical="center" wrapText="1"/>
    </xf>
    <xf numFmtId="164" fontId="23" fillId="4" borderId="5" applyAlignment="1" pivotButton="0" quotePrefix="0" xfId="0">
      <alignment horizontal="center" vertical="center" wrapText="1"/>
    </xf>
    <xf numFmtId="164" fontId="23" fillId="5" borderId="5" applyAlignment="1" pivotButton="0" quotePrefix="0" xfId="0">
      <alignment horizontal="center" vertical="center" wrapText="1"/>
    </xf>
    <xf numFmtId="165" fontId="4" fillId="2" borderId="6" applyAlignment="1" pivotButton="0" quotePrefix="0" xfId="0">
      <alignment horizontal="center" vertical="center"/>
    </xf>
    <xf numFmtId="165" fontId="4" fillId="2" borderId="6" applyAlignment="1" pivotButton="0" quotePrefix="0" xfId="0">
      <alignment horizontal="center" vertical="center" wrapText="1"/>
    </xf>
    <xf numFmtId="165" fontId="4" fillId="2" borderId="9" applyAlignment="1" pivotButton="0" quotePrefix="0" xfId="0">
      <alignment horizontal="center" vertical="center" wrapText="1"/>
    </xf>
    <xf numFmtId="165" fontId="4" fillId="2" borderId="2" applyAlignment="1" pivotButton="0" quotePrefix="0" xfId="0">
      <alignment horizontal="center" vertical="center"/>
    </xf>
    <xf numFmtId="0" fontId="34" fillId="2" borderId="11" applyAlignment="1" pivotButton="0" quotePrefix="0" xfId="0">
      <alignment horizontal="center" vertical="center" wrapText="1"/>
    </xf>
    <xf numFmtId="165" fontId="25" fillId="2" borderId="2" applyAlignment="1" pivotButton="0" quotePrefix="0" xfId="0">
      <alignment horizontal="center" vertical="center"/>
    </xf>
    <xf numFmtId="166" fontId="25" fillId="2" borderId="2" applyAlignment="1" pivotButton="0" quotePrefix="0" xfId="0">
      <alignment horizontal="center" vertical="center" wrapText="1"/>
    </xf>
    <xf numFmtId="165" fontId="25" fillId="2" borderId="2" applyAlignment="1" pivotButton="0" quotePrefix="0" xfId="0">
      <alignment horizontal="center" vertical="center" wrapText="1"/>
    </xf>
    <xf numFmtId="0" fontId="34" fillId="6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33" fillId="6" borderId="2" applyAlignment="1" pivotButton="0" quotePrefix="0" xfId="1">
      <alignment horizontal="center" vertical="center" wrapText="1"/>
    </xf>
    <xf numFmtId="0" fontId="33" fillId="0" borderId="2" applyAlignment="1" pivotButton="0" quotePrefix="0" xfId="1">
      <alignment horizontal="center" vertical="center" wrapText="1"/>
    </xf>
    <xf numFmtId="165" fontId="33" fillId="0" borderId="2" applyAlignment="1" pivotButton="0" quotePrefix="0" xfId="0">
      <alignment horizontal="center" vertical="center"/>
    </xf>
    <xf numFmtId="0" fontId="33" fillId="0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vertical="center" wrapText="1"/>
    </xf>
    <xf numFmtId="165" fontId="33" fillId="0" borderId="2" applyAlignment="1" pivotButton="0" quotePrefix="0" xfId="0">
      <alignment horizontal="center" vertical="center" wrapText="1"/>
    </xf>
    <xf numFmtId="0" fontId="33" fillId="0" borderId="4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 wrapText="1"/>
    </xf>
    <xf numFmtId="0" fontId="33" fillId="0" borderId="0" pivotButton="0" quotePrefix="0" xfId="0"/>
    <xf numFmtId="166" fontId="33" fillId="0" borderId="2" applyAlignment="1" pivotButton="0" quotePrefix="0" xfId="0">
      <alignment horizontal="center" vertical="center"/>
    </xf>
    <xf numFmtId="0" fontId="33" fillId="7" borderId="2" applyAlignment="1" pivotButton="0" quotePrefix="0" xfId="0">
      <alignment horizontal="center" vertical="center" wrapText="1"/>
    </xf>
    <xf numFmtId="166" fontId="33" fillId="0" borderId="2" applyAlignment="1" pivotButton="0" quotePrefix="0" xfId="0">
      <alignment horizontal="center" vertical="center" wrapText="1"/>
    </xf>
    <xf numFmtId="0" fontId="33" fillId="8" borderId="2" applyAlignment="1" pivotButton="0" quotePrefix="0" xfId="0">
      <alignment horizontal="center" vertical="center" wrapText="1"/>
    </xf>
    <xf numFmtId="0" fontId="33" fillId="8" borderId="2" applyAlignment="1" pivotButton="0" quotePrefix="0" xfId="1">
      <alignment horizontal="center" vertical="center" wrapText="1"/>
    </xf>
    <xf numFmtId="166" fontId="33" fillId="8" borderId="2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 wrapText="1"/>
    </xf>
    <xf numFmtId="166" fontId="33" fillId="0" borderId="6" applyAlignment="1" pivotButton="0" quotePrefix="0" xfId="0">
      <alignment horizontal="center" vertical="center"/>
    </xf>
    <xf numFmtId="0" fontId="33" fillId="0" borderId="6" applyAlignment="1" pivotButton="0" quotePrefix="0" xfId="0">
      <alignment vertical="center" wrapText="1"/>
    </xf>
    <xf numFmtId="166" fontId="33" fillId="0" borderId="6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/>
    </xf>
    <xf numFmtId="0" fontId="33" fillId="9" borderId="2" applyAlignment="1" pivotButton="0" quotePrefix="0" xfId="0">
      <alignment horizontal="center" vertical="center" wrapText="1"/>
    </xf>
    <xf numFmtId="166" fontId="33" fillId="9" borderId="2" applyAlignment="1" pivotButton="0" quotePrefix="0" xfId="0">
      <alignment horizontal="center" vertical="center"/>
    </xf>
    <xf numFmtId="0" fontId="33" fillId="8" borderId="0" pivotButton="0" quotePrefix="0" xfId="0"/>
    <xf numFmtId="166" fontId="33" fillId="8" borderId="0" pivotButton="0" quotePrefix="0" xfId="0"/>
    <xf numFmtId="166" fontId="33" fillId="0" borderId="0" pivotButton="0" quotePrefix="0" xfId="0"/>
    <xf numFmtId="0" fontId="35" fillId="10" borderId="0" pivotButton="0" quotePrefix="0" xfId="0"/>
    <xf numFmtId="0" fontId="34" fillId="0" borderId="0" pivotButton="0" quotePrefix="0" xfId="0"/>
    <xf numFmtId="0" fontId="34" fillId="7" borderId="0" pivotButton="0" quotePrefix="0" xfId="0"/>
    <xf numFmtId="166" fontId="33" fillId="7" borderId="0" pivotButton="0" quotePrefix="0" xfId="0"/>
    <xf numFmtId="0" fontId="33" fillId="7" borderId="0" pivotButton="0" quotePrefix="0" xfId="0"/>
    <xf numFmtId="0" fontId="34" fillId="9" borderId="0" pivotButton="0" quotePrefix="0" xfId="0"/>
    <xf numFmtId="166" fontId="33" fillId="9" borderId="0" pivotButton="0" quotePrefix="0" xfId="0"/>
    <xf numFmtId="0" fontId="33" fillId="9" borderId="0" pivotButton="0" quotePrefix="0" xfId="0"/>
    <xf numFmtId="0" fontId="34" fillId="8" borderId="0" pivotButton="0" quotePrefix="0" xfId="0"/>
    <xf numFmtId="0" fontId="33" fillId="0" borderId="7" applyAlignment="1" pivotButton="0" quotePrefix="0" xfId="0">
      <alignment horizontal="center" vertical="center" wrapText="1"/>
    </xf>
    <xf numFmtId="0" fontId="34" fillId="0" borderId="7" applyAlignment="1" pivotButton="0" quotePrefix="0" xfId="0">
      <alignment horizontal="center" vertical="center" wrapText="1"/>
    </xf>
    <xf numFmtId="0" fontId="33" fillId="0" borderId="7" applyAlignment="1" pivotButton="0" quotePrefix="0" xfId="0">
      <alignment vertical="center" wrapText="1"/>
    </xf>
    <xf numFmtId="0" fontId="33" fillId="0" borderId="6" applyAlignment="1" pivotButton="0" quotePrefix="0" xfId="1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vertical="center" wrapText="1"/>
    </xf>
    <xf numFmtId="0" fontId="33" fillId="0" borderId="1" applyAlignment="1" pivotButton="0" quotePrefix="0" xfId="0">
      <alignment horizontal="center" vertical="center" wrapText="1"/>
    </xf>
    <xf numFmtId="165" fontId="33" fillId="0" borderId="6" applyAlignment="1" pivotButton="0" quotePrefix="0" xfId="0">
      <alignment horizontal="center" vertical="center"/>
    </xf>
    <xf numFmtId="0" fontId="33" fillId="0" borderId="8" applyAlignment="1" pivotButton="0" quotePrefix="0" xfId="0">
      <alignment vertical="center" wrapText="1"/>
    </xf>
    <xf numFmtId="166" fontId="33" fillId="0" borderId="9" applyAlignment="1" pivotButton="0" quotePrefix="0" xfId="0">
      <alignment horizontal="center" vertical="center" wrapText="1"/>
    </xf>
    <xf numFmtId="0" fontId="33" fillId="0" borderId="3" applyAlignment="1" pivotButton="0" quotePrefix="0" xfId="0">
      <alignment horizontal="center" vertical="center" wrapText="1"/>
    </xf>
    <xf numFmtId="0" fontId="33" fillId="7" borderId="2" applyAlignment="1" pivotButton="0" quotePrefix="0" xfId="1">
      <alignment horizontal="center" vertical="center" wrapText="1"/>
    </xf>
    <xf numFmtId="166" fontId="33" fillId="7" borderId="2" applyAlignment="1" pivotButton="0" quotePrefix="0" xfId="0">
      <alignment horizontal="center" vertical="center"/>
    </xf>
    <xf numFmtId="0" fontId="33" fillId="7" borderId="3" applyAlignment="1" pivotButton="0" quotePrefix="0" xfId="0">
      <alignment horizontal="center" vertical="center" wrapText="1"/>
    </xf>
    <xf numFmtId="0" fontId="33" fillId="7" borderId="4" applyAlignment="1" pivotButton="0" quotePrefix="0" xfId="0">
      <alignment horizontal="center" vertical="center" wrapText="1"/>
    </xf>
    <xf numFmtId="0" fontId="33" fillId="0" borderId="4" applyAlignment="1" pivotButton="0" quotePrefix="0" xfId="0">
      <alignment vertical="center" wrapText="1"/>
    </xf>
    <xf numFmtId="0" fontId="33" fillId="8" borderId="3" applyAlignment="1" pivotButton="0" quotePrefix="0" xfId="0">
      <alignment horizontal="center" vertical="center" wrapText="1"/>
    </xf>
    <xf numFmtId="0" fontId="33" fillId="8" borderId="4" applyAlignment="1" pivotButton="0" quotePrefix="0" xfId="0">
      <alignment horizontal="center" vertical="center" wrapText="1"/>
    </xf>
    <xf numFmtId="0" fontId="34" fillId="6" borderId="0" pivotButton="0" quotePrefix="0" xfId="0"/>
    <xf numFmtId="0" fontId="0" fillId="7" borderId="0" pivotButton="0" quotePrefix="0" xfId="0"/>
    <xf numFmtId="166" fontId="0" fillId="0" borderId="0" pivotButton="0" quotePrefix="0" xfId="0"/>
    <xf numFmtId="0" fontId="0" fillId="9" borderId="0" pivotButton="0" quotePrefix="0" xfId="0"/>
    <xf numFmtId="0" fontId="0" fillId="8" borderId="0" pivotButton="0" quotePrefix="0" xfId="0"/>
    <xf numFmtId="166" fontId="0" fillId="8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Miles Colon</author>
    <author>tc={E60DC78E-57BF-498A-B8F1-224F47E21445}</author>
  </authors>
  <commentList>
    <comment ref="G2" authorId="0" shapeId="0">
      <text>
        <t>Miles Colon:
On sale price @ Office Depot
Original msrp 309.9</t>
      </text>
    </comment>
    <comment ref="E15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at 100 qty = discount to $1.79 // retail $2.08</t>
      </text>
    </comment>
  </commentList>
</comments>
</file>

<file path=xl/comments/comment2.xml><?xml version="1.0" encoding="utf-8"?>
<comments xmlns="http://schemas.openxmlformats.org/spreadsheetml/2006/main">
  <authors>
    <author>Miles Colon</author>
  </authors>
  <commentList>
    <comment ref="E9" authorId="0" shapeId="0">
      <text>
        <t>Miles Colon:$40 per user per month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officedepot.com/a/products/4679238/DYMO-Label-Writer-5XL-Label-Printer/?utm_source=google&amp;utm_medium=sag&amp;srsltid=AfmBOooj03Ns0TEFKR2gF7ucWywYQRA8pl_jjFciPdo99RJ6KuOOnndKIf0" TargetMode="External" Id="rId1" /><Relationship Type="http://schemas.openxmlformats.org/officeDocument/2006/relationships/hyperlink" Target="https://www.officedepot.com/a/products/4679238/DYMO-Label-Writer-5XL-Label-Printer/?utm_source=google&amp;utm_medium=sag&amp;srsltid=AfmBOooj03Ns0TEFKR2gF7ucWywYQRA8pl_jjFciPdo99RJ6KuOOnndKIf0" TargetMode="External" Id="rId2" /><Relationship Type="http://schemas.openxmlformats.org/officeDocument/2006/relationships/hyperlink" Target="https://www.staples.com/brother-desktop-ql-1100-label-printer/product_2861526" TargetMode="External" Id="rId3" /><Relationship Type="http://schemas.openxmlformats.org/officeDocument/2006/relationships/hyperlink" Target="https://www.staples.com/brother-desktop-ql-1100-label-printer/product_2861526" TargetMode="External" Id="rId4" /><Relationship Type="http://schemas.openxmlformats.org/officeDocument/2006/relationships/hyperlink" Target="https://www.staples.com/brother-desktop-ql-1100-label-printer/product_2861526" TargetMode="External" Id="rId5" /><Relationship Type="http://schemas.openxmlformats.org/officeDocument/2006/relationships/hyperlink" Target="https://www.amazon.com/gp/aw/d/B0H3QH2CHN/?_encoding=UTF8&amp;pd_rd_plhdr=t&amp;aaxitk=b52c4d9c74e47383c74b069b42ff708b&amp;hsa_cr_id=0&amp;qid=1790706687&amp;sr=1-1-9e67e56a-6f64-441f-a281-df67fc737124&amp;i=industrial&amp;aref=9CuIJu14Ra&amp;ref_=sbx_s_sparkle_sbtcd_asin_0_bkgd&amp;pd_rd_w=tCMUL&amp;content-id=amzn1.sym.8de9b3d5-f5c5-40e9-9b39-d65f08d6ea68%3Aamzn1.sym.8de9b3d5-f5c5-40e9-9b39-d65f08d6ea68&amp;pf_rd_p=8de9b3d5-f5c5-40e9-9b39-d65f08d6ea68&amp;pf_rd_r=2TT3BSG3TG3E5H3FGYM7&amp;pd_rd_wg=gS4sI&amp;pd_rd_r=f676030c-9dd4-4ddd-8ed4-88f26d725b71&amp;th=1" TargetMode="External" Id="rId6" /><Relationship Type="http://schemas.openxmlformats.org/officeDocument/2006/relationships/hyperlink" Target="https://www.newcastlesys.com/en-us/entry-level-ecocart-series-mobile-powered-workstations" TargetMode="External" Id="rId7" /><Relationship Type="http://schemas.openxmlformats.org/officeDocument/2006/relationships/hyperlink" Target="https://www.newcastlesys.com/ec102num-mobile-powered-workstation" TargetMode="External" Id="rId8" /><Relationship Type="http://schemas.openxmlformats.org/officeDocument/2006/relationships/hyperlink" Target="https://www.newcastlesys.com/en-us/entry-level-ecocart-series-mobile-powered-workstations" TargetMode="External" Id="rId9" /><Relationship Type="http://schemas.openxmlformats.org/officeDocument/2006/relationships/hyperlink" Target="https://www.newcastlesys.com/ec102num-mobile-powered-workstation" TargetMode="External" Id="rId10" /><Relationship Type="http://schemas.openxmlformats.org/officeDocument/2006/relationships/hyperlink" Target="https://www.bestbuy.com/product/tera-1d-2d-wireless-barcode-scanner-with-led-screen-and-charging-cradle-hw0006/JJ86QX634G/sku/10513444?ref=212&amp;loc=Marketplace_22995917451&amp;gclsrc=aw.ds&amp;gad_source=1&amp;gad_campaignid=23006184127&amp;gbraid=0AAAAAD-ORIjpnMuDSiT59yywV7AjFOHSz&amp;gclid=CjwKCAjww-3VBhAcEiwAwUUIu_Fto-W_C8flyPn9KmHol_5s9Qr0dfXA1xf8vKq4jm1FmLQo0_4o6xoC1xQQAvD_BwE" TargetMode="External" Id="rId11" /><Relationship Type="http://schemas.openxmlformats.org/officeDocument/2006/relationships/hyperlink" Target="https://www.bestbuy.com/product/tera-1d-2d-wireless-barcode-scanner-with-led-screen-and-charging-cradle-hw0006/JJ86QX634G/sku/10513444?ref=212&amp;loc=Marketplace_22995917451&amp;gclsrc=aw.ds&amp;gad_source=1&amp;gad_campaignid=23006184127&amp;gbraid=0AAAAAD-ORIjpnMuDSiT59yywV7AjFOHSz&amp;gclid=CjwKCAjww-3VBhAcEiwAwUUIu_Fto-W_C8flyPn9KmHol_5s9Qr0dfXA1xf8vKq4jm1FmLQo0_4o6xoC1xQQAvD_BwE" TargetMode="External" Id="rId12" /><Relationship Type="http://schemas.openxmlformats.org/officeDocument/2006/relationships/hyperlink" Target="https://tapeproviders.com/products/wod-packing-tape-110-yards-strong-heavy-duty-industrial-shipping-box-packaging-tape-for-moving-office-storage-cstwba?variant=46289385160939" TargetMode="External" Id="rId13" /><Relationship Type="http://schemas.openxmlformats.org/officeDocument/2006/relationships/hyperlink" Target="https://tapeproviders.com/products/wod-mousetrap-low-noise-carton-sealing-packaging-tape-silent-gun-dispenser-fits-3-inch-tape-cstd3ln?variant=46204568240363" TargetMode="External" Id="rId14" /><Relationship Type="http://schemas.openxmlformats.org/officeDocument/2006/relationships/hyperlink" Target="https://www.walmart.com/ip/100-Pack-Permanent-Markers-Bulk-Black-Set-Fine-Point-Marker-Pens-Waterproof-Works-On-Plastic-Wood-Stone-Metal-And-Glass/21072556076?wmlspartner=wlpa&amp;selectedSellerId=103137775&amp;adid=2222222222721072556076_103137775_199492704626_24219758109&amp;wl0=&amp;wl1=g&amp;wl2=c&amp;wl3=823751273895&amp;wl4=pla-2449037643288&amp;wl5=9191194&amp;wl6=&amp;wl7=&amp;wl8=&amp;wl9=pla&amp;wl10=5821818056&amp;wl11=online&amp;wl12=21072556076_103137775&amp;veh=sem&amp;gad_source=1&amp;gad_campaignid=24219758109&amp;gbraid=0AAAAADmfBIqxMuteH166vjuo4XXwhijpf&amp;gclid=CjwKCAjww-3VBhAcEiwAwUUIuzSbscG40CgSqs_SvVwfhDtRH2FfZ4rAQMH8HV037cij_lMbu6_k_RoCctAQAvD_BwE" TargetMode="External" Id="rId15" /><Relationship Type="http://schemas.openxmlformats.org/officeDocument/2006/relationships/hyperlink" Target="https://www.safecutters.com/product/klever-koncept-safety-knife-kcj-2-sc-kk-201/?attribute_pa_color=red" TargetMode="External" Id="rId16" /><Relationship Type="http://schemas.openxmlformats.org/officeDocument/2006/relationships/hyperlink" Target="https://neon.com/pricing" TargetMode="External" Id="rId17" /><Relationship Type="http://schemas.openxmlformats.org/officeDocument/2006/relationships/hyperlink" Target="https://neon.com/pricing" TargetMode="External" Id="rId18" /><Relationship Type="http://schemas.openxmlformats.org/officeDocument/2006/relationships/hyperlink" Target="https://www.netlify.com/pricing/" TargetMode="External" Id="rId19" /><Relationship Type="http://schemas.openxmlformats.org/officeDocument/2006/relationships/hyperlink" Target="https://www.heroku.com/pricing/" TargetMode="External" Id="rId20" /><Relationship Type="http://schemas.openxmlformats.org/officeDocument/2006/relationships/hyperlink" Target="https://devcenter.heroku.com/articles/usage-and-billing" TargetMode="External" Id="rId21" /><Relationship Type="http://schemas.openxmlformats.org/officeDocument/2006/relationships/hyperlink" Target="https://www.heroku.com/pricing/" TargetMode="External" Id="rId2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neon.com/pricing" TargetMode="External" Id="rId1" /><Relationship Type="http://schemas.openxmlformats.org/officeDocument/2006/relationships/hyperlink" Target="https://neon.com/pricing" TargetMode="External" Id="rId2" /><Relationship Type="http://schemas.openxmlformats.org/officeDocument/2006/relationships/hyperlink" Target="https://www.netlify.com/pricing/" TargetMode="External" Id="rId3" /><Relationship Type="http://schemas.openxmlformats.org/officeDocument/2006/relationships/hyperlink" Target="https://www.heroku.com/pricing/" TargetMode="External" Id="rId4" /><Relationship Type="http://schemas.openxmlformats.org/officeDocument/2006/relationships/hyperlink" Target="https://devcenter.heroku.com/articles/usage-and-billing" TargetMode="External" Id="rId5" /><Relationship Type="http://schemas.openxmlformats.org/officeDocument/2006/relationships/hyperlink" Target="https://www.heroku.com/pricing/" TargetMode="External" Id="rId6" /><Relationship Type="http://schemas.openxmlformats.org/officeDocument/2006/relationships/hyperlink" Target="https://cursor.com/pricing" TargetMode="External" Id="rId7" /><Relationship Type="http://schemas.openxmlformats.org/officeDocument/2006/relationships/hyperlink" Target="https://cursor.com/pricing" TargetMode="External" Id="rId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60"/>
  <sheetViews>
    <sheetView topLeftCell="M24" workbookViewId="0">
      <selection activeCell="A19" sqref="A19:S33"/>
    </sheetView>
  </sheetViews>
  <sheetFormatPr baseColWidth="8" defaultRowHeight="15.75"/>
  <cols>
    <col width="55" customWidth="1" style="2" min="1" max="1"/>
    <col width="17" customWidth="1" style="2" min="2" max="2"/>
    <col width="30.7109375" customWidth="1" style="2" min="3" max="3"/>
    <col width="36" customWidth="1" style="2" min="4" max="4"/>
    <col width="16" customWidth="1" style="54" min="5" max="5"/>
    <col width="12.140625" bestFit="1" customWidth="1" style="2" min="6" max="6"/>
    <col width="26.7109375" customWidth="1" style="2" min="7" max="9"/>
    <col width="55" customWidth="1" min="9" max="9"/>
    <col width="26.7109375" customWidth="1" style="50" min="10" max="11"/>
    <col width="21.28515625" customWidth="1" style="2" min="12" max="12"/>
    <col width="30.28515625" customWidth="1" style="2" min="13" max="13"/>
    <col width="44" customWidth="1" style="2" min="14" max="14"/>
    <col width="101.28515625" customWidth="1" style="2" min="15" max="15"/>
    <col width="68.28515625" customWidth="1" style="2" min="16" max="16"/>
    <col width="32.85546875" customWidth="1" style="2" min="17" max="17"/>
    <col width="26" customWidth="1" style="2" min="18" max="18"/>
    <col width="27.5703125" customWidth="1" style="2" min="19" max="19"/>
    <col width="9.140625" customWidth="1" style="2" min="20" max="16384"/>
  </cols>
  <sheetData>
    <row r="1" ht="60.75" customFormat="1" customHeight="1" s="1">
      <c r="A1" s="5" t="inlineStr">
        <is>
          <t>Item</t>
        </is>
      </c>
      <c r="B1" s="5" t="inlineStr">
        <is>
          <t>Brand</t>
        </is>
      </c>
      <c r="C1" s="5" t="inlineStr">
        <is>
          <t>Model</t>
        </is>
      </c>
      <c r="D1" s="5" t="inlineStr">
        <is>
          <t>UPC #</t>
        </is>
      </c>
      <c r="E1" s="53" t="inlineStr">
        <is>
          <t>Quanity</t>
        </is>
      </c>
      <c r="F1" s="5" t="inlineStr">
        <is>
          <t>Pack Size</t>
        </is>
      </c>
      <c r="G1" s="5" t="inlineStr">
        <is>
          <t>Cost per Item Pack</t>
        </is>
      </c>
      <c r="H1" s="5" t="inlineStr">
        <is>
          <t>Shipping Cost</t>
        </is>
      </c>
      <c r="I1" s="5" t="inlineStr">
        <is>
          <t>Sales Tax Rate</t>
        </is>
      </c>
      <c r="J1" s="5" t="inlineStr">
        <is>
          <t>Line Item Subtotal w/ EC102NU2M</t>
        </is>
      </c>
      <c r="K1" s="5" t="inlineStr">
        <is>
          <t>Line Item Subtotal EC308-Li</t>
        </is>
      </c>
      <c r="L1" s="5" t="inlineStr">
        <is>
          <t>Vendor</t>
        </is>
      </c>
      <c r="M1" s="5" t="inlineStr">
        <is>
          <t>Use Case</t>
        </is>
      </c>
      <c r="N1" s="5" t="inlineStr">
        <is>
          <t>Specs</t>
        </is>
      </c>
      <c r="O1" s="6" t="inlineStr">
        <is>
          <t>Cons</t>
        </is>
      </c>
    </row>
    <row r="2" hidden="1" ht="61.5" customHeight="1">
      <c r="A2" s="2" t="inlineStr">
        <is>
          <t>Label Printer</t>
        </is>
      </c>
      <c r="B2" s="2" t="inlineStr">
        <is>
          <t>Dymo</t>
        </is>
      </c>
      <c r="C2" s="2" t="inlineStr">
        <is>
          <t>Label Writer 5XL Label Printer</t>
        </is>
      </c>
      <c r="D2" s="2" t="n">
        <v>71701062505</v>
      </c>
      <c r="E2" s="54" t="n">
        <v>2</v>
      </c>
      <c r="F2" s="2" t="n">
        <v>1</v>
      </c>
      <c r="G2" s="101" t="n">
        <v>199.8</v>
      </c>
      <c r="H2" s="101" t="n"/>
      <c r="I2" s="101" t="n"/>
      <c r="J2" s="101" t="n"/>
      <c r="K2" s="101" t="n"/>
      <c r="L2" s="4" t="inlineStr">
        <is>
          <t>Office Depot</t>
        </is>
      </c>
      <c r="M2" s="2" t="inlineStr">
        <is>
          <t>Prints Labels- one for mobile workstation &amp; other for stationary desk @ control desk</t>
        </is>
      </c>
      <c r="N2" s="4" t="inlineStr">
        <is>
          <t>Specs</t>
        </is>
      </c>
      <c r="O2" s="2" t="inlineStr">
        <is>
          <t>Required Propritary Branded Labels</t>
        </is>
      </c>
    </row>
    <row r="3" ht="61.5" customHeight="1">
      <c r="A3" s="7" t="inlineStr">
        <is>
          <t>Label Printer</t>
        </is>
      </c>
      <c r="B3" s="10" t="inlineStr">
        <is>
          <t>Brother</t>
        </is>
      </c>
      <c r="C3" s="7" t="inlineStr">
        <is>
          <t>Brother QL-1100 Label Printer</t>
        </is>
      </c>
      <c r="D3" s="7" t="n">
        <v>12502648932</v>
      </c>
      <c r="E3" s="55" t="n">
        <v>2</v>
      </c>
      <c r="F3" s="7" t="n">
        <v>1</v>
      </c>
      <c r="G3" s="102" t="n">
        <v>229.99</v>
      </c>
      <c r="H3" s="102" t="n">
        <v>0</v>
      </c>
      <c r="I3" s="41" t="n">
        <v>1.08</v>
      </c>
      <c r="J3" s="103">
        <f>(E3*G3*I3)+H3</f>
        <v/>
      </c>
      <c r="K3" s="102" t="n"/>
      <c r="L3" s="8" t="inlineStr">
        <is>
          <t>Staples</t>
        </is>
      </c>
      <c r="M3" s="7" t="inlineStr">
        <is>
          <t>Prints Labels- one for mobile workstation &amp; other for stationary desk @ control desk</t>
        </is>
      </c>
      <c r="N3" s="8" t="inlineStr">
        <is>
          <t>specs</t>
        </is>
      </c>
      <c r="O3" s="7" t="n"/>
    </row>
    <row r="4" ht="91.5" customHeight="1">
      <c r="A4" s="7" t="inlineStr">
        <is>
          <t>DK1202 White Die-Cut Direct Thermal Labels. Label Size: 2-3/7" x 4" (62mm x 100mm). 300 Labels/Roll, 12 Rolls/Box, Total 3,600 Labels with 1 Reusable Cartridge Frame</t>
        </is>
      </c>
      <c r="B4" s="10" t="inlineStr">
        <is>
          <t>StickerTag</t>
        </is>
      </c>
      <c r="C4" s="7" t="inlineStr">
        <is>
          <t>DK1202</t>
        </is>
      </c>
      <c r="D4" s="96" t="n"/>
      <c r="E4" s="55" t="n">
        <v>13</v>
      </c>
      <c r="F4" s="7" t="n">
        <v>1</v>
      </c>
      <c r="G4" s="102" t="n">
        <v>36.99</v>
      </c>
      <c r="H4" s="102" t="n">
        <v>0</v>
      </c>
      <c r="I4" s="41">
        <f>I3</f>
        <v/>
      </c>
      <c r="J4" s="103">
        <f>(E4*G4*I4)+H4</f>
        <v/>
      </c>
      <c r="K4" s="102" t="n"/>
      <c r="L4" s="8" t="inlineStr">
        <is>
          <t>Amazon</t>
        </is>
      </c>
      <c r="M4" s="7" t="inlineStr">
        <is>
          <t>Thermal labels for labeling inventory, locations, &amp; printing pack slips.</t>
        </is>
      </c>
      <c r="N4" s="8" t="inlineStr">
        <is>
          <t xml:space="preserve">
Color	White
Size	2.4" x 3.9" - DK1202
Material	Paper
Brand	StickerTag
Finish Type	Adhesive</t>
        </is>
      </c>
      <c r="O4" s="7" t="n"/>
      <c r="P4" s="2" t="inlineStr">
        <is>
          <t>3 users / 2 labels per item / 2 possible labels per process / 18 cases per day per user / 4 days per week</t>
        </is>
      </c>
      <c r="Q4" s="2">
        <f>3*2*2*18*4*52</f>
        <v/>
      </c>
      <c r="R4" s="2">
        <f>Q4/3600</f>
        <v/>
      </c>
      <c r="S4" s="40" t="inlineStr">
        <is>
          <t>Around [  13  ]  - 12 pack cases of 3600 each pack of labels per year, estimating around 45,000 labels needed per year</t>
        </is>
      </c>
    </row>
    <row r="5" ht="61.5" customHeight="1">
      <c r="A5" s="7" t="inlineStr">
        <is>
          <t>Computer Rolling Cart</t>
        </is>
      </c>
      <c r="B5" s="8" t="inlineStr">
        <is>
          <t>New Castle Systems</t>
        </is>
      </c>
      <c r="C5" s="12" t="inlineStr">
        <is>
          <t>EC102NU2M</t>
        </is>
      </c>
      <c r="D5" s="7" t="inlineStr">
        <is>
          <t>Reference #: 20260904-111210232</t>
        </is>
      </c>
      <c r="E5" s="56" t="n">
        <v>2</v>
      </c>
      <c r="F5" s="7" t="n">
        <v>1</v>
      </c>
      <c r="G5" s="102" t="n">
        <v>3437</v>
      </c>
      <c r="H5" s="102" t="n"/>
      <c r="I5" s="41">
        <f>I4</f>
        <v/>
      </c>
      <c r="J5" s="103">
        <f>(E5*G5*I5)+H5</f>
        <v/>
      </c>
      <c r="K5" s="102" t="n"/>
      <c r="L5" s="8" t="inlineStr">
        <is>
          <t>New Castle Systems</t>
        </is>
      </c>
      <c r="M5" s="7" t="inlineStr">
        <is>
          <t>Mobile Workstation for labeling, shipping, recieving, inventory control, &amp; cycle counting.</t>
        </is>
      </c>
      <c r="N5" s="7" t="inlineStr">
        <is>
          <t>Compact powered cart, PowerSwap Nucleus® MINI lithium system w/(2) 230 Wh swappable batteries &amp; charging station</t>
        </is>
      </c>
      <c r="O5" s="7" t="n"/>
    </row>
    <row r="6" ht="76.5" customHeight="1">
      <c r="A6" s="7" t="inlineStr">
        <is>
          <t>Computer Rolling Cart</t>
        </is>
      </c>
      <c r="B6" s="8" t="inlineStr">
        <is>
          <t>New Castle Systems</t>
        </is>
      </c>
      <c r="C6" s="12" t="inlineStr">
        <is>
          <t>EC308-LI</t>
        </is>
      </c>
      <c r="D6" s="96" t="inlineStr">
        <is>
          <t>Reference #: 20260904-110942161</t>
        </is>
      </c>
      <c r="E6" s="56" t="n">
        <v>2</v>
      </c>
      <c r="F6" s="7" t="n">
        <v>1</v>
      </c>
      <c r="G6" s="102" t="n">
        <v>3273</v>
      </c>
      <c r="H6" s="102" t="n"/>
      <c r="I6" s="41">
        <f>I5</f>
        <v/>
      </c>
      <c r="K6" s="103">
        <f>(E6*G6*I6)+H6</f>
        <v/>
      </c>
      <c r="L6" s="8" t="inlineStr">
        <is>
          <t>New Castle Systems</t>
        </is>
      </c>
      <c r="M6" s="7" t="inlineStr">
        <is>
          <t>Mobile Workstation for labeling, shipping, recieving, inventory control, &amp; cycle counting.</t>
        </is>
      </c>
      <c r="N6" s="7" t="inlineStr">
        <is>
          <t>Fixed Lithium / SLA (EC380 / EC380-LI) — 1,200–1,280 Wh, 450W continuous output. Powers a laptop, LCD monitor, and mid-range thermal printer for a full shift.</t>
        </is>
      </c>
      <c r="O6" s="7" t="n"/>
    </row>
    <row r="7" ht="76.5" customHeight="1">
      <c r="A7" s="7" t="inlineStr">
        <is>
          <t>Middle Shelf</t>
        </is>
      </c>
      <c r="B7" s="7" t="inlineStr">
        <is>
          <t>New Castle Systems</t>
        </is>
      </c>
      <c r="C7" s="12" t="inlineStr">
        <is>
          <t>B423</t>
        </is>
      </c>
      <c r="D7" s="61" t="inlineStr">
        <is>
          <t>Reference #: 20260904-111210232</t>
        </is>
      </c>
      <c r="E7" s="56" t="n">
        <v>2</v>
      </c>
      <c r="F7" s="7" t="n">
        <v>1</v>
      </c>
      <c r="G7" s="102" t="n">
        <v>107</v>
      </c>
      <c r="H7" s="102" t="n"/>
      <c r="I7" s="41">
        <f>I6</f>
        <v/>
      </c>
      <c r="J7" s="103">
        <f>(E7*G7*I7)+H7</f>
        <v/>
      </c>
      <c r="K7" s="102" t="n"/>
      <c r="L7" s="7" t="inlineStr">
        <is>
          <t>New Castle Systems</t>
        </is>
      </c>
      <c r="M7" s="7" t="inlineStr">
        <is>
          <t>Center shelf accessory for storing thermal printer, labels, markers, tape, &amp; other minor materials for shipping &amp; recieving.</t>
        </is>
      </c>
      <c r="N7" s="7" t="n"/>
      <c r="O7" s="7" t="n"/>
    </row>
    <row r="8" ht="107.25" customHeight="1">
      <c r="A8" s="7" t="inlineStr">
        <is>
          <t>Scanner Holder</t>
        </is>
      </c>
      <c r="B8" s="7" t="inlineStr">
        <is>
          <t>New Castle Systems</t>
        </is>
      </c>
      <c r="C8" s="12" t="inlineStr">
        <is>
          <t>B132</t>
        </is>
      </c>
      <c r="D8" s="61" t="inlineStr">
        <is>
          <t>Reference #: 20260904-111210232</t>
        </is>
      </c>
      <c r="E8" s="56" t="n">
        <v>2</v>
      </c>
      <c r="F8" s="7" t="n">
        <v>1</v>
      </c>
      <c r="G8" s="102" t="n">
        <v>46</v>
      </c>
      <c r="H8" s="102" t="n"/>
      <c r="I8" s="41">
        <f>I7</f>
        <v/>
      </c>
      <c r="J8" s="103">
        <f>(E8*G8*I8)+H8</f>
        <v/>
      </c>
      <c r="K8" s="102" t="n"/>
      <c r="L8" s="7" t="inlineStr">
        <is>
          <t>New Castle Systems</t>
        </is>
      </c>
      <c r="M8" s="7" t="inlineStr">
        <is>
          <t>User friendly &amp; ergonomic scanner holder for hands free scanning &amp; docking of scanning device. Makes for a dedicated station for quick easy access to scanning technologies.</t>
        </is>
      </c>
      <c r="N8" s="7" t="n"/>
      <c r="O8" s="7" t="n"/>
    </row>
    <row r="9" ht="121.5" customHeight="1">
      <c r="A9" s="7" t="inlineStr">
        <is>
          <t>Laptop / tablet holder w/7" arm (adjustable 10"-17" wide) (12 x 10 x 6"</t>
        </is>
      </c>
      <c r="B9" s="7" t="inlineStr">
        <is>
          <t>New Castle Systems</t>
        </is>
      </c>
      <c r="C9" s="12" t="inlineStr">
        <is>
          <t>B112</t>
        </is>
      </c>
      <c r="D9" s="61" t="inlineStr">
        <is>
          <t>Reference #: 20260904-111210232</t>
        </is>
      </c>
      <c r="E9" s="56" t="n">
        <v>2</v>
      </c>
      <c r="F9" s="7" t="n">
        <v>1</v>
      </c>
      <c r="G9" s="102" t="n">
        <v>213</v>
      </c>
      <c r="H9" s="102" t="n"/>
      <c r="I9" s="41">
        <f>I8</f>
        <v/>
      </c>
      <c r="J9" s="103">
        <f>(E9*G9*I9)+H9</f>
        <v/>
      </c>
      <c r="K9" s="102" t="n"/>
      <c r="L9" s="7" t="inlineStr">
        <is>
          <t>New Castle Systems</t>
        </is>
      </c>
      <c r="M9" s="7" t="inlineStr">
        <is>
          <t>An accessory to the computer rolling cart to secure the device in a mounted armature. This will provide integrity to company electronics while also freeing up space on the mobile work station.</t>
        </is>
      </c>
      <c r="N9" s="7" t="n"/>
      <c r="O9" s="7" t="n"/>
    </row>
    <row r="10" ht="108.75" customHeight="1">
      <c r="A10" s="7" t="inlineStr">
        <is>
          <t xml:space="preserve">Tera - 1D 2D Wireless Barcode Scanner with LED Screen and Charging Cradle HW0006
</t>
        </is>
      </c>
      <c r="B10" s="10" t="inlineStr">
        <is>
          <t>Tera</t>
        </is>
      </c>
      <c r="C10" s="7" t="inlineStr">
        <is>
          <t>HW0006</t>
        </is>
      </c>
      <c r="D10" s="98">
        <f>"192531066157"</f>
        <v/>
      </c>
      <c r="E10" s="55" t="n">
        <v>2</v>
      </c>
      <c r="F10" s="7" t="n">
        <v>1</v>
      </c>
      <c r="G10" s="104" t="n">
        <v>36.87</v>
      </c>
      <c r="H10" s="104" t="n"/>
      <c r="I10" s="42">
        <f>I9</f>
        <v/>
      </c>
      <c r="J10" s="105">
        <f>(E10*G10*I10)+H10</f>
        <v/>
      </c>
      <c r="K10" s="104" t="n"/>
      <c r="L10" s="10" t="inlineStr">
        <is>
          <t>Best Buy</t>
        </is>
      </c>
      <c r="M10" s="7" t="inlineStr">
        <is>
          <t>Wireless Scan Barcodes for inventory</t>
        </is>
      </c>
      <c r="N10" s="7" t="n"/>
      <c r="O10" s="7" t="inlineStr">
        <is>
          <t>Must Charge; 13 hour operating time.</t>
        </is>
      </c>
    </row>
    <row r="11" ht="45.75" customHeight="1">
      <c r="A11" s="7" t="inlineStr">
        <is>
          <t xml:space="preserve">Packing Tape with Acrylic Adhesive | CST20WBA (110 yd, 2.0 Mil)
</t>
        </is>
      </c>
      <c r="B11" s="10" t="inlineStr">
        <is>
          <t>TapeProviders</t>
        </is>
      </c>
      <c r="C11" s="62" t="inlineStr">
        <is>
          <t>TP-CSTWBA-PA</t>
        </is>
      </c>
      <c r="D11" s="7" t="inlineStr">
        <is>
          <t>TP CST20WBA-03000-24-110-CLE</t>
        </is>
      </c>
      <c r="E11" s="55">
        <f>ROUND((65/F11),0)</f>
        <v/>
      </c>
      <c r="F11" s="7" t="n">
        <v>36</v>
      </c>
      <c r="G11" s="104" t="n">
        <v>46.26</v>
      </c>
      <c r="H11" s="9" t="n"/>
      <c r="I11" s="42">
        <f>I10</f>
        <v/>
      </c>
      <c r="J11" s="105">
        <f>(E11*G11*I11)+H11</f>
        <v/>
      </c>
      <c r="K11" s="104" t="n"/>
      <c r="L11" s="7" t="inlineStr">
        <is>
          <t>TapeProviders</t>
        </is>
      </c>
      <c r="M11" s="7" t="inlineStr">
        <is>
          <t>Tape used for sealing produts in packaging.</t>
        </is>
      </c>
      <c r="N11" s="19" t="inlineStr">
        <is>
          <t>36 / box ; 3 " wide ; 2 mil thick</t>
        </is>
      </c>
      <c r="O11" s="7" t="n"/>
      <c r="P11" s="2" t="inlineStr">
        <is>
          <t>6 users == 1.25 rolls / week</t>
        </is>
      </c>
      <c r="Q11" s="2">
        <f>1.25*52</f>
        <v/>
      </c>
      <c r="R11" s="2" t="inlineStr">
        <is>
          <t>Around 65 Rolls Tape a year</t>
        </is>
      </c>
    </row>
    <row r="12" ht="76.5" customHeight="1">
      <c r="A12" s="7" t="inlineStr">
        <is>
          <t>Silent Packing Tape Dispenser - General Grade | CSTD-LN Max Width 3"</t>
        </is>
      </c>
      <c r="B12" s="10" t="inlineStr">
        <is>
          <t>TapeProviders</t>
        </is>
      </c>
      <c r="C12" s="7" t="inlineStr">
        <is>
          <t>CSTD3LN</t>
        </is>
      </c>
      <c r="D12" s="7" t="inlineStr">
        <is>
          <t>WOD CSTD3LN-1</t>
        </is>
      </c>
      <c r="E12" s="55" t="n">
        <v>9</v>
      </c>
      <c r="F12" s="7" t="n">
        <v>1</v>
      </c>
      <c r="G12" s="104" t="n">
        <v>16.85</v>
      </c>
      <c r="H12" s="9" t="n"/>
      <c r="I12" s="42">
        <f>I11</f>
        <v/>
      </c>
      <c r="J12" s="105">
        <f>(E12*G12*I12)+H12</f>
        <v/>
      </c>
      <c r="K12" s="104" t="n"/>
      <c r="L12" s="7" t="inlineStr">
        <is>
          <t>TapeProviders</t>
        </is>
      </c>
      <c r="M12" s="7" t="inlineStr">
        <is>
          <t>Professional and ergonomic tape dispensor tool used for shipping, recieving, and inventory repacking.</t>
        </is>
      </c>
      <c r="N12" s="7" t="n"/>
      <c r="O12" s="7" t="n"/>
      <c r="P12" s="2" t="inlineStr">
        <is>
          <t>4 users == 2.25 reels / 12 months</t>
        </is>
      </c>
      <c r="Q12" s="2">
        <f>4*2.25*1</f>
        <v/>
      </c>
      <c r="R12" s="2" t="inlineStr">
        <is>
          <t>Around 9 Tape Reels a Year</t>
        </is>
      </c>
    </row>
    <row r="13" ht="90" customHeight="1">
      <c r="A13" s="7" t="inlineStr">
        <is>
          <t xml:space="preserve">100 Pack Permanent Markers Bulk Black Set Fine Point Marker Pens Waterproof Works On Plastic Wood Stone Metal And Glass
</t>
        </is>
      </c>
      <c r="B13" s="10" t="inlineStr">
        <is>
          <t>Unbranded</t>
        </is>
      </c>
      <c r="C13" s="7">
        <f>"835645224524"</f>
        <v/>
      </c>
      <c r="D13" s="7" t="n"/>
      <c r="E13" s="55">
        <f>ROUND((156/F13),0)</f>
        <v/>
      </c>
      <c r="F13" s="7" t="n">
        <v>100</v>
      </c>
      <c r="G13" s="104" t="n">
        <v>42.48</v>
      </c>
      <c r="H13" s="9" t="n">
        <v>0</v>
      </c>
      <c r="I13" s="42">
        <f>I12</f>
        <v/>
      </c>
      <c r="J13" s="105">
        <f>(E13*G13*I13)+H13</f>
        <v/>
      </c>
      <c r="K13" s="104" t="n"/>
      <c r="L13" s="7" t="inlineStr">
        <is>
          <t>Walmart</t>
        </is>
      </c>
      <c r="M13" s="7" t="inlineStr">
        <is>
          <t>User to mark pallets, product, and inventorey</t>
        </is>
      </c>
      <c r="N13" s="7" t="n"/>
      <c r="O13" s="7" t="n"/>
      <c r="P13" s="2" t="inlineStr">
        <is>
          <t>6 users / 1.5 markers /  3 weeks</t>
        </is>
      </c>
      <c r="Q13" s="2">
        <f>6*1.5*(52/3)</f>
        <v/>
      </c>
      <c r="R13" s="2" t="inlineStr">
        <is>
          <t>Around 156 markers a year</t>
        </is>
      </c>
    </row>
    <row r="14" ht="30.75" customHeight="1">
      <c r="A14" s="7" t="inlineStr">
        <is>
          <t>Brother DS-640 Compact Mobile Document Scanner, (Model: DS640)</t>
        </is>
      </c>
      <c r="B14" s="7" t="inlineStr">
        <is>
          <t>Brother</t>
        </is>
      </c>
      <c r="C14" s="19" t="inlineStr">
        <is>
          <t>DS640</t>
        </is>
      </c>
      <c r="D14" s="7" t="inlineStr">
        <is>
          <t>Part #: 78152934</t>
        </is>
      </c>
      <c r="E14" s="55" t="n">
        <v>2</v>
      </c>
      <c r="F14" s="2" t="n">
        <v>1</v>
      </c>
      <c r="G14" s="102" t="n">
        <v>134.99</v>
      </c>
      <c r="H14" s="7" t="n"/>
      <c r="I14" s="41">
        <f>I16</f>
        <v/>
      </c>
      <c r="J14" s="103">
        <f>(E14*G14*I14)+H14</f>
        <v/>
      </c>
      <c r="K14" s="102" t="n"/>
      <c r="L14" s="7" t="n"/>
      <c r="M14" s="7" t="n"/>
      <c r="N14" s="7" t="n"/>
      <c r="O14" s="7" t="n"/>
    </row>
    <row r="15" ht="30.75" customHeight="1">
      <c r="A15" s="2" t="inlineStr">
        <is>
          <t>Klevor Koncept Safety Knife</t>
        </is>
      </c>
      <c r="B15" s="39" t="inlineStr">
        <is>
          <t>Klevor Koncept</t>
        </is>
      </c>
      <c r="C15" s="96" t="inlineStr">
        <is>
          <t>SC KK-201</t>
        </is>
      </c>
      <c r="D15" s="96" t="n"/>
      <c r="E15" s="57" t="n">
        <v>105</v>
      </c>
      <c r="F15" s="96" t="n">
        <v>1</v>
      </c>
      <c r="G15" s="106" t="n">
        <v>1.79</v>
      </c>
      <c r="H15" s="96" t="n"/>
      <c r="I15" s="43">
        <f>I14</f>
        <v/>
      </c>
      <c r="J15" s="107">
        <f>(E15*G15*I15)+H15</f>
        <v/>
      </c>
      <c r="K15" s="107" t="n"/>
      <c r="L15" s="96" t="n"/>
      <c r="M15" s="96" t="n"/>
      <c r="N15" s="96" t="n"/>
      <c r="O15" s="96" t="n"/>
      <c r="P15" s="2" t="inlineStr">
        <is>
          <t>6 users / 1 blade / 3 weeks</t>
        </is>
      </c>
      <c r="Q15" s="2">
        <f>6*(52/3)</f>
        <v/>
      </c>
      <c r="R15" s="2" t="inlineStr">
        <is>
          <t>Around 104 Safety Blades a year</t>
        </is>
      </c>
    </row>
    <row r="16" ht="31.5" customHeight="1">
      <c r="A16" s="7" t="inlineStr">
        <is>
          <t>Carboard Boxes</t>
        </is>
      </c>
      <c r="B16" s="45" t="n"/>
      <c r="C16" s="45" t="n"/>
      <c r="D16" s="45" t="n"/>
      <c r="E16" s="55" t="n"/>
      <c r="F16" s="45" t="n"/>
      <c r="G16" s="44" t="n"/>
      <c r="H16" s="9" t="n"/>
      <c r="I16" s="42">
        <f>I13</f>
        <v/>
      </c>
      <c r="J16" s="44">
        <f>(E16*G16*I16)+H16</f>
        <v/>
      </c>
      <c r="K16" s="44" t="n"/>
      <c r="L16" s="7" t="n"/>
      <c r="M16" s="7" t="n"/>
      <c r="N16" s="7" t="n"/>
      <c r="O16" s="7" t="n"/>
    </row>
    <row r="17" ht="31.5" customHeight="1">
      <c r="A17" s="96" t="n"/>
      <c r="B17" s="70" t="n"/>
      <c r="C17" s="70" t="n"/>
      <c r="D17" s="70" t="n"/>
      <c r="E17" s="57" t="n"/>
      <c r="F17" s="70" t="n"/>
      <c r="G17" s="71" t="n"/>
      <c r="H17" s="72" t="n"/>
      <c r="I17" s="73" t="n"/>
      <c r="J17" s="108">
        <f>SUM(J2:J16)</f>
        <v/>
      </c>
      <c r="K17" s="109">
        <f>SUM(J2:J4)+SUM(J7:J16)+K6</f>
        <v/>
      </c>
      <c r="L17" s="96" t="n"/>
      <c r="M17" s="96" t="n"/>
      <c r="N17" s="96" t="n"/>
      <c r="O17" s="96" t="n"/>
    </row>
    <row r="18" customFormat="1" s="32">
      <c r="A18" s="31" t="n"/>
      <c r="B18" s="31" t="n"/>
      <c r="C18" s="31" t="n"/>
      <c r="D18" s="31" t="n"/>
      <c r="E18" s="58" t="n"/>
      <c r="F18" s="31" t="n"/>
      <c r="G18" s="31" t="n"/>
      <c r="H18" s="31" t="n"/>
      <c r="I18" s="31" t="n"/>
      <c r="J18" s="46" t="n"/>
      <c r="K18" s="46" t="n"/>
      <c r="L18" s="31" t="n"/>
      <c r="M18" s="31" t="n"/>
      <c r="N18" s="31" t="n"/>
      <c r="O18" s="31" t="n"/>
    </row>
    <row r="19" ht="45.75" customHeight="1">
      <c r="A19" s="155" t="n"/>
      <c r="B19" s="155" t="n"/>
      <c r="C19" s="156" t="inlineStr">
        <is>
          <t>Pricing Options</t>
        </is>
      </c>
      <c r="D19" s="156" t="inlineStr">
        <is>
          <t>Plan</t>
        </is>
      </c>
      <c r="E19" s="156" t="inlineStr">
        <is>
          <t>Estimated Monthly Cost</t>
        </is>
      </c>
      <c r="F19" s="156" t="inlineStr">
        <is>
          <t>RAM / Specs</t>
        </is>
      </c>
      <c r="G19" s="156" t="inlineStr">
        <is>
          <t>Storage GB</t>
        </is>
      </c>
      <c r="H19" s="156" t="inlineStr">
        <is>
          <t>HA / Redundancy</t>
        </is>
      </c>
      <c r="I19" s="156" t="inlineStr">
        <is>
          <t>Notes</t>
        </is>
      </c>
      <c r="J19" s="157" t="n"/>
      <c r="K19" s="157" t="n"/>
      <c r="L19" s="156" t="inlineStr">
        <is>
          <t>Current Plan in Development</t>
        </is>
      </c>
      <c r="M19" s="156" t="inlineStr">
        <is>
          <t>Current Plan Cost While in Development / Month</t>
        </is>
      </c>
      <c r="N19" s="155" t="n"/>
      <c r="O19" s="155" t="n"/>
      <c r="P19" s="128" t="n"/>
      <c r="Q19" s="128" t="n"/>
      <c r="R19" s="128" t="n"/>
      <c r="S19" s="128" t="n"/>
      <c r="T19" s="128" t="n"/>
      <c r="U19" s="128" t="n"/>
      <c r="V19" s="128" t="n"/>
      <c r="W19" s="128" t="n"/>
      <c r="X19" s="128" t="n"/>
      <c r="Y19" s="128" t="n"/>
    </row>
    <row r="20" ht="166.5" customHeight="1">
      <c r="A20" s="135" t="inlineStr">
        <is>
          <t>Optional serverless Postgres (skip if using Heroku Postgres)</t>
        </is>
      </c>
      <c r="B20" s="135" t="inlineStr">
        <is>
          <t>Neon</t>
        </is>
      </c>
      <c r="C20" s="158" t="inlineStr">
        <is>
          <t>Neon Pricing</t>
        </is>
      </c>
      <c r="D20" s="135" t="inlineStr">
        <is>
          <t>Launch — Usage Based</t>
        </is>
      </c>
      <c r="E20" s="136" t="n">
        <v>22</v>
      </c>
      <c r="F20" s="159" t="n"/>
      <c r="G20" s="135" t="n"/>
      <c r="H20" s="160" t="n"/>
      <c r="I20" s="160" t="inlineStr">
        <is>
          <t>Not needed once Heroku Postgres is the system of record.</t>
        </is>
      </c>
      <c r="J20" s="161" t="n"/>
      <c r="K20" s="161" t="n"/>
      <c r="L20" s="160" t="inlineStr">
        <is>
          <t>Free</t>
        </is>
      </c>
      <c r="M20" s="138" t="n">
        <v>0</v>
      </c>
      <c r="N20" s="121" t="n"/>
      <c r="O20" s="159" t="n"/>
      <c r="P20" s="162" t="n"/>
      <c r="Q20" s="127" t="n"/>
      <c r="R20" s="127" t="n"/>
      <c r="S20" s="127" t="n"/>
      <c r="T20" s="128" t="n"/>
      <c r="U20" s="128" t="n"/>
      <c r="V20" s="128" t="n"/>
      <c r="W20" s="128" t="n"/>
      <c r="X20" s="128" t="n"/>
      <c r="Y20" s="128" t="n"/>
    </row>
    <row r="21" ht="37.5" customHeight="1">
      <c r="A21" s="135" t="inlineStr">
        <is>
          <t>No need to use — redundant with Heroku hosting frontend + backend</t>
        </is>
      </c>
      <c r="B21" s="135" t="inlineStr">
        <is>
          <t>Netlify</t>
        </is>
      </c>
      <c r="C21" s="158" t="inlineStr">
        <is>
          <t>Netlify Pricing</t>
        </is>
      </c>
      <c r="D21" s="135" t="n"/>
      <c r="E21" s="163" t="n"/>
      <c r="F21" s="159" t="n"/>
      <c r="G21" s="159" t="n"/>
      <c r="H21" s="159" t="n"/>
      <c r="I21" s="159" t="n"/>
      <c r="J21" s="164" t="n"/>
      <c r="K21" s="164" t="n"/>
      <c r="L21" s="123" t="inlineStr">
        <is>
          <t>Free</t>
        </is>
      </c>
      <c r="M21" s="165" t="n">
        <v>0</v>
      </c>
      <c r="N21" s="123" t="n"/>
      <c r="O21" s="135" t="n"/>
      <c r="P21" s="128" t="n"/>
      <c r="Q21" s="128" t="n"/>
      <c r="R21" s="128" t="n"/>
      <c r="S21" s="128" t="n"/>
      <c r="T21" s="128" t="n"/>
      <c r="U21" s="128" t="n"/>
      <c r="V21" s="128" t="n"/>
      <c r="W21" s="128" t="n"/>
      <c r="X21" s="128" t="n"/>
      <c r="Y21" s="128" t="n"/>
    </row>
    <row r="22" ht="95.25" customHeight="1">
      <c r="A22" s="118" t="inlineStr">
        <is>
          <t>Heroku Dynos — Saltbox Next.js app compute</t>
        </is>
      </c>
      <c r="B22" s="123" t="inlineStr">
        <is>
          <t>Heroku</t>
        </is>
      </c>
      <c r="C22" s="121" t="inlineStr">
        <is>
          <t>Heroku Dynos Pricing</t>
        </is>
      </c>
      <c r="D22" s="121" t="n"/>
      <c r="E22" s="122" t="n"/>
      <c r="F22" s="166" t="n"/>
      <c r="G22" s="123" t="n"/>
      <c r="H22" s="128" t="n"/>
      <c r="I22" s="128" t="n"/>
      <c r="J22" s="128" t="n"/>
      <c r="K22" s="128" t="n"/>
      <c r="L22" s="127" t="n"/>
      <c r="M22" s="125" t="n"/>
      <c r="N22" s="123" t="n"/>
      <c r="O22" s="123" t="n"/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</row>
    <row r="23" ht="95.25" customHeight="1">
      <c r="A23" s="130" t="inlineStr">
        <is>
          <t>Eco (dev only — sleeps after 30 min)</t>
        </is>
      </c>
      <c r="B23" s="130" t="inlineStr">
        <is>
          <t>Heroku</t>
        </is>
      </c>
      <c r="C23" s="167" t="inlineStr">
        <is>
          <t>Heroku Dynos Pricing</t>
        </is>
      </c>
      <c r="D23" s="130" t="inlineStr">
        <is>
          <t>Eco</t>
        </is>
      </c>
      <c r="E23" s="168" t="n">
        <v>5</v>
      </c>
      <c r="F23" s="169" t="inlineStr">
        <is>
          <t>0.5 GB</t>
        </is>
      </c>
      <c r="G23" s="130" t="inlineStr">
        <is>
          <t>—</t>
        </is>
      </c>
      <c r="H23" s="170" t="inlineStr">
        <is>
          <t>Sleeps</t>
        </is>
      </c>
      <c r="I23" s="170" t="inlineStr">
        <is>
          <t>Development only</t>
        </is>
      </c>
      <c r="J23" s="171" t="n"/>
      <c r="K23" s="171" t="n"/>
      <c r="L23" s="126" t="inlineStr">
        <is>
          <t>Cedar - Eco Dyno</t>
        </is>
      </c>
      <c r="M23" s="131" t="n">
        <v>5</v>
      </c>
      <c r="N23" s="123" t="n"/>
      <c r="O23" s="123" t="n"/>
      <c r="P23" s="128" t="n"/>
      <c r="Q23" s="128" t="n"/>
      <c r="R23" s="128" t="n"/>
      <c r="S23" s="128" t="n"/>
      <c r="T23" s="128" t="n"/>
      <c r="U23" s="128" t="n"/>
      <c r="V23" s="128" t="n"/>
      <c r="W23" s="128" t="n"/>
      <c r="X23" s="128" t="n"/>
      <c r="Y23" s="128" t="n"/>
    </row>
    <row r="24" ht="95.25" customHeight="1">
      <c r="A24" s="123" t="inlineStr">
        <is>
          <t>Basic (always-on entry)</t>
        </is>
      </c>
      <c r="B24" s="123" t="inlineStr">
        <is>
          <t>Heroku</t>
        </is>
      </c>
      <c r="C24" s="121" t="inlineStr">
        <is>
          <t>Heroku Dynos Pricing</t>
        </is>
      </c>
      <c r="D24" s="123" t="inlineStr">
        <is>
          <t>Basic</t>
        </is>
      </c>
      <c r="E24" s="129" t="n">
        <v>7</v>
      </c>
      <c r="F24" s="166" t="inlineStr">
        <is>
          <t>0.5 GB</t>
        </is>
      </c>
      <c r="G24" s="123" t="inlineStr">
        <is>
          <t>—</t>
        </is>
      </c>
      <c r="H24" s="126" t="inlineStr">
        <is>
          <t>Limited</t>
        </is>
      </c>
      <c r="I24" s="126" t="inlineStr">
        <is>
          <t>Always-on; limited prod features</t>
        </is>
      </c>
      <c r="J24" s="171" t="n"/>
      <c r="K24" s="171" t="n"/>
      <c r="L24" s="126" t="n"/>
      <c r="M24" s="125" t="n"/>
      <c r="N24" s="123" t="n"/>
      <c r="O24" s="123" t="n"/>
      <c r="P24" s="123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</row>
    <row r="25" ht="56.25" customHeight="1">
      <c r="A25" s="132" t="inlineStr">
        <is>
          <t>Standard-1X (RECOMMENDED production web)</t>
        </is>
      </c>
      <c r="B25" s="132" t="inlineStr">
        <is>
          <t>Heroku</t>
        </is>
      </c>
      <c r="C25" s="132" t="inlineStr">
        <is>
          <t>Heroku Dynos Pricing</t>
        </is>
      </c>
      <c r="D25" s="132" t="inlineStr">
        <is>
          <t>Standard-1X</t>
        </is>
      </c>
      <c r="E25" s="134" t="n">
        <v>25</v>
      </c>
      <c r="F25" s="172" t="inlineStr">
        <is>
          <t>0.5 GB</t>
        </is>
      </c>
      <c r="G25" s="132" t="inlineStr">
        <is>
          <t>—</t>
        </is>
      </c>
      <c r="H25" s="173" t="inlineStr">
        <is>
          <t>Metrics + preboot</t>
        </is>
      </c>
      <c r="I25" s="173" t="inlineStr">
        <is>
          <t>Recommended prod dyno; free ACM SSL</t>
        </is>
      </c>
      <c r="J25" s="171" t="n"/>
      <c r="K25" s="171" t="n"/>
      <c r="L25" s="126" t="n"/>
      <c r="M25" s="125" t="n"/>
      <c r="N25" s="123" t="n"/>
      <c r="O25" s="123" t="n"/>
      <c r="P25" s="128" t="n"/>
      <c r="Q25" s="128" t="n"/>
      <c r="R25" s="128" t="n"/>
      <c r="S25" s="128" t="n"/>
      <c r="T25" s="128" t="n"/>
      <c r="U25" s="128" t="n"/>
      <c r="V25" s="128" t="n"/>
      <c r="W25" s="128" t="n"/>
      <c r="X25" s="128" t="n"/>
      <c r="Y25" s="128" t="n"/>
    </row>
    <row r="26" ht="33.75" customHeight="1">
      <c r="A26" s="123" t="inlineStr">
        <is>
          <t>Standard-2X (scale-up if OOM)</t>
        </is>
      </c>
      <c r="B26" s="123" t="inlineStr">
        <is>
          <t>Heroku</t>
        </is>
      </c>
      <c r="C26" s="123" t="inlineStr">
        <is>
          <t>Heroku Dynos Pricing</t>
        </is>
      </c>
      <c r="D26" s="123" t="inlineStr">
        <is>
          <t>Standard-2X</t>
        </is>
      </c>
      <c r="E26" s="129" t="n">
        <v>50</v>
      </c>
      <c r="F26" s="123" t="inlineStr">
        <is>
          <t>1 GB</t>
        </is>
      </c>
      <c r="G26" s="135" t="inlineStr">
        <is>
          <t>—</t>
        </is>
      </c>
      <c r="H26" s="135" t="inlineStr">
        <is>
          <t>Metrics + preboot</t>
        </is>
      </c>
      <c r="I26" s="135" t="inlineStr">
        <is>
          <t>Only if Standard-1X runs out of memory</t>
        </is>
      </c>
      <c r="J26" s="137" t="n"/>
      <c r="K26" s="137" t="n"/>
      <c r="L26" s="123" t="n"/>
      <c r="M26" s="123" t="n"/>
      <c r="N26" s="123" t="n"/>
      <c r="O26" s="123" t="n"/>
      <c r="P26" s="128" t="n"/>
      <c r="Q26" s="128" t="n"/>
      <c r="R26" s="128" t="n"/>
      <c r="S26" s="128" t="n"/>
      <c r="T26" s="128" t="n"/>
      <c r="U26" s="128" t="n"/>
      <c r="V26" s="128" t="n"/>
      <c r="W26" s="128" t="n"/>
      <c r="X26" s="128" t="n"/>
      <c r="Y26" s="128" t="n"/>
    </row>
    <row r="27" ht="29.25" customHeight="1">
      <c r="A27" s="123" t="inlineStr">
        <is>
          <t>Performance-M (overkill comparison)</t>
        </is>
      </c>
      <c r="B27" s="123" t="inlineStr">
        <is>
          <t>Heroku</t>
        </is>
      </c>
      <c r="C27" s="123" t="inlineStr">
        <is>
          <t>Heroku Dynos Pricing</t>
        </is>
      </c>
      <c r="D27" s="123" t="inlineStr">
        <is>
          <t>Performance-M</t>
        </is>
      </c>
      <c r="E27" s="129" t="n">
        <v>250</v>
      </c>
      <c r="F27" s="123" t="inlineStr">
        <is>
          <t>2.5 GB dedicated</t>
        </is>
      </c>
      <c r="G27" s="123" t="inlineStr">
        <is>
          <t>—</t>
        </is>
      </c>
      <c r="H27" s="123" t="inlineStr">
        <is>
          <t>Dedicated</t>
        </is>
      </c>
      <c r="I27" s="123" t="inlineStr">
        <is>
          <t>Not recommended for Saltbox ATL scale</t>
        </is>
      </c>
      <c r="J27" s="124" t="n"/>
      <c r="K27" s="124" t="n"/>
      <c r="L27" s="123" t="inlineStr">
        <is>
          <t>Cedar Private - Medium (ref)</t>
        </is>
      </c>
      <c r="M27" s="131" t="n">
        <v>250</v>
      </c>
      <c r="N27" s="123" t="n"/>
      <c r="O27" s="123" t="n"/>
      <c r="P27" s="128" t="n"/>
      <c r="Q27" s="128" t="n"/>
      <c r="R27" s="128" t="n"/>
      <c r="S27" s="128" t="n"/>
      <c r="T27" s="128" t="n"/>
      <c r="U27" s="128" t="n"/>
      <c r="V27" s="128" t="n"/>
      <c r="W27" s="128" t="n"/>
      <c r="X27" s="128" t="n"/>
      <c r="Y27" s="128" t="n"/>
    </row>
    <row r="28" ht="33" customHeight="1">
      <c r="A28" s="118" t="inlineStr">
        <is>
          <t>Heroku Postgres — managed DATABASE_URL store</t>
        </is>
      </c>
      <c r="B28" s="123" t="inlineStr">
        <is>
          <t>Heroku</t>
        </is>
      </c>
      <c r="C28" s="123" t="inlineStr">
        <is>
          <t>Heroku Data Services Pricing</t>
        </is>
      </c>
      <c r="D28" s="123" t="n"/>
      <c r="E28" s="140" t="n"/>
      <c r="F28" s="123" t="n"/>
      <c r="G28" s="123" t="n"/>
      <c r="H28" s="123" t="n"/>
      <c r="I28" s="123" t="n"/>
      <c r="J28" s="124" t="n"/>
      <c r="K28" s="124" t="n"/>
      <c r="L28" s="123" t="n"/>
      <c r="M28" s="123" t="n"/>
      <c r="N28" s="123" t="n"/>
      <c r="O28" s="123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</row>
    <row r="29" ht="38.25" customHeight="1">
      <c r="A29" s="130" t="inlineStr">
        <is>
          <t>Essential-0 (dev)</t>
        </is>
      </c>
      <c r="B29" s="130" t="inlineStr">
        <is>
          <t>Heroku</t>
        </is>
      </c>
      <c r="C29" s="130" t="inlineStr">
        <is>
          <t>Heroku Data Services Pricing</t>
        </is>
      </c>
      <c r="D29" s="130" t="inlineStr">
        <is>
          <t>Essential-0</t>
        </is>
      </c>
      <c r="E29" s="168" t="n">
        <v>5</v>
      </c>
      <c r="F29" s="130" t="inlineStr">
        <is>
          <t>Shared</t>
        </is>
      </c>
      <c r="G29" s="130" t="n">
        <v>1</v>
      </c>
      <c r="H29" s="130" t="inlineStr">
        <is>
          <t>No HA</t>
        </is>
      </c>
      <c r="I29" s="130" t="inlineStr">
        <is>
          <t>Dev/staging only</t>
        </is>
      </c>
      <c r="J29" s="124" t="n"/>
      <c r="K29" s="124" t="n"/>
      <c r="L29" s="123" t="inlineStr">
        <is>
          <t>Essential-0</t>
        </is>
      </c>
      <c r="M29" s="131" t="n">
        <v>5</v>
      </c>
      <c r="N29" s="123" t="n"/>
      <c r="O29" s="123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</row>
    <row r="30" ht="33.75" customHeight="1">
      <c r="A30" s="123" t="inlineStr">
        <is>
          <t>Essential-1</t>
        </is>
      </c>
      <c r="B30" s="123" t="inlineStr">
        <is>
          <t>Heroku</t>
        </is>
      </c>
      <c r="C30" s="123" t="inlineStr">
        <is>
          <t>Heroku Data Services Pricing</t>
        </is>
      </c>
      <c r="D30" s="123" t="inlineStr">
        <is>
          <t>Essential-1</t>
        </is>
      </c>
      <c r="E30" s="129" t="n">
        <v>9</v>
      </c>
      <c r="F30" s="123" t="inlineStr">
        <is>
          <t>Shared</t>
        </is>
      </c>
      <c r="G30" s="123" t="n">
        <v>10</v>
      </c>
      <c r="H30" s="123" t="inlineStr">
        <is>
          <t>No HA</t>
        </is>
      </c>
      <c r="I30" s="123" t="inlineStr">
        <is>
          <t>Dev with more storage</t>
        </is>
      </c>
      <c r="J30" s="124" t="n"/>
      <c r="K30" s="124" t="n"/>
      <c r="L30" s="123" t="n"/>
      <c r="M30" s="123" t="n"/>
      <c r="N30" s="123" t="n"/>
      <c r="O30" s="123" t="n"/>
      <c r="P30" s="128" t="n"/>
      <c r="Q30" s="128" t="n"/>
      <c r="R30" s="128" t="n"/>
      <c r="S30" s="128" t="n"/>
      <c r="T30" s="128" t="n"/>
      <c r="U30" s="128" t="n"/>
      <c r="V30" s="128" t="n"/>
      <c r="W30" s="128" t="n"/>
      <c r="X30" s="128" t="n"/>
      <c r="Y30" s="128" t="n"/>
    </row>
    <row r="31" ht="43.5" customHeight="1">
      <c r="A31" s="123" t="inlineStr">
        <is>
          <t>Essential-2</t>
        </is>
      </c>
      <c r="B31" s="123" t="inlineStr">
        <is>
          <t>Heroku</t>
        </is>
      </c>
      <c r="C31" s="123" t="inlineStr">
        <is>
          <t>Heroku Data Services Pricing</t>
        </is>
      </c>
      <c r="D31" s="123" t="inlineStr">
        <is>
          <t>Essential-2</t>
        </is>
      </c>
      <c r="E31" s="129" t="n">
        <v>20</v>
      </c>
      <c r="F31" s="123" t="inlineStr">
        <is>
          <t>Shared</t>
        </is>
      </c>
      <c r="G31" s="123" t="n">
        <v>32</v>
      </c>
      <c r="H31" s="123" t="inlineStr">
        <is>
          <t>No HA</t>
        </is>
      </c>
      <c r="I31" s="123" t="inlineStr">
        <is>
          <t>Still no redundancy for prod goals</t>
        </is>
      </c>
      <c r="J31" s="124" t="n"/>
      <c r="K31" s="124" t="n"/>
      <c r="L31" s="123" t="n"/>
      <c r="M31" s="123" t="n"/>
      <c r="N31" s="123" t="n"/>
      <c r="O31" s="123" t="n"/>
      <c r="P31" s="128" t="n"/>
      <c r="Q31" s="128" t="n"/>
      <c r="R31" s="128" t="n"/>
      <c r="S31" s="128" t="n"/>
      <c r="T31" s="128" t="n"/>
      <c r="U31" s="128" t="n"/>
      <c r="V31" s="128" t="n"/>
      <c r="W31" s="128" t="n"/>
      <c r="X31" s="128" t="n"/>
      <c r="Y31" s="128" t="n"/>
    </row>
    <row r="32" ht="28.5" customHeight="1">
      <c r="A32" s="141" t="inlineStr">
        <is>
          <t>Standard-0 (lean prod)</t>
        </is>
      </c>
      <c r="B32" s="141" t="inlineStr">
        <is>
          <t>Heroku</t>
        </is>
      </c>
      <c r="C32" s="141" t="inlineStr">
        <is>
          <t>Heroku Data Services Pricing</t>
        </is>
      </c>
      <c r="D32" s="141" t="inlineStr">
        <is>
          <t>Standard-0</t>
        </is>
      </c>
      <c r="E32" s="142" t="n">
        <v>50</v>
      </c>
      <c r="F32" s="141" t="inlineStr">
        <is>
          <t>4 GB RAM</t>
        </is>
      </c>
      <c r="G32" s="141" t="n">
        <v>64</v>
      </c>
      <c r="H32" s="141" t="inlineStr">
        <is>
          <t>Forks; no auto HA</t>
        </is>
      </c>
      <c r="I32" s="141" t="inlineStr">
        <is>
          <t>Lean prod — up to ~1 hr downtime/mo</t>
        </is>
      </c>
      <c r="J32" s="124" t="n"/>
      <c r="K32" s="124" t="n"/>
      <c r="L32" s="123" t="n"/>
      <c r="M32" s="123" t="n"/>
      <c r="N32" s="123" t="n"/>
      <c r="O32" s="123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</row>
    <row r="33" ht="47.25" customHeight="1">
      <c r="A33" s="132" t="inlineStr">
        <is>
          <t>Premium-0 (RECOMMENDED — HA)</t>
        </is>
      </c>
      <c r="B33" s="132" t="inlineStr">
        <is>
          <t>Heroku</t>
        </is>
      </c>
      <c r="C33" s="132" t="inlineStr">
        <is>
          <t>Heroku Data Services Pricing</t>
        </is>
      </c>
      <c r="D33" s="132" t="inlineStr">
        <is>
          <t>Premium-0</t>
        </is>
      </c>
      <c r="E33" s="134" t="n">
        <v>200</v>
      </c>
      <c r="F33" s="132" t="inlineStr">
        <is>
          <t>4 GB RAM</t>
        </is>
      </c>
      <c r="G33" s="132" t="n">
        <v>64</v>
      </c>
      <c r="H33" s="132" t="inlineStr">
        <is>
          <t>Automatic HA failover</t>
        </is>
      </c>
      <c r="I33" s="132" t="inlineStr">
        <is>
          <t>Matches security/connectivity/redundancy goals</t>
        </is>
      </c>
      <c r="J33" s="124" t="n"/>
      <c r="K33" s="124" t="n"/>
      <c r="L33" s="123" t="n"/>
      <c r="M33" s="123" t="n"/>
      <c r="N33" s="123" t="n"/>
      <c r="O33" s="123" t="n"/>
      <c r="P33" s="128" t="n"/>
      <c r="Q33" s="128" t="n"/>
      <c r="R33" s="128" t="n"/>
      <c r="S33" s="128" t="n"/>
      <c r="T33" s="128" t="n"/>
      <c r="U33" s="128" t="n"/>
      <c r="V33" s="128" t="n"/>
      <c r="W33" s="128" t="n"/>
      <c r="X33" s="128" t="n"/>
      <c r="Y33" s="128" t="n"/>
    </row>
    <row r="34">
      <c r="A34" s="174" t="inlineStr">
        <is>
          <t>Heroku Add-ons</t>
        </is>
      </c>
      <c r="B34" s="128" t="n"/>
      <c r="C34" s="128" t="n"/>
      <c r="D34" s="128" t="n"/>
      <c r="E34" s="128" t="n"/>
      <c r="F34" s="128" t="n"/>
      <c r="G34" s="123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8" t="n"/>
      <c r="U34" s="128" t="n"/>
      <c r="V34" s="128" t="n"/>
      <c r="W34" s="128" t="n"/>
      <c r="X34" s="128" t="n"/>
      <c r="Y34" s="128" t="n"/>
    </row>
    <row r="35">
      <c r="A35" s="143" t="inlineStr">
        <is>
          <t>Bucketeer S3 for photos (required in prod)</t>
        </is>
      </c>
      <c r="B35" s="143" t="inlineStr">
        <is>
          <t>Bucketeer</t>
        </is>
      </c>
      <c r="C35" s="143" t="inlineStr">
        <is>
          <t>Heroku Add-ons Pricing</t>
        </is>
      </c>
      <c r="D35" s="143" t="inlineStr">
        <is>
          <t>Hobbyist</t>
        </is>
      </c>
      <c r="E35" s="144" t="n">
        <v>5</v>
      </c>
      <c r="F35" s="143" t="inlineStr">
        <is>
          <t>S3</t>
        </is>
      </c>
      <c r="G35" s="132" t="inlineStr">
        <is>
          <t>—</t>
        </is>
      </c>
      <c r="H35" s="143" t="inlineStr">
        <is>
          <t>Durable storage</t>
        </is>
      </c>
      <c r="I35" s="143" t="inlineStr">
        <is>
          <t>Ephemeral dyno disk cannot keep data/photos/</t>
        </is>
      </c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</row>
    <row r="36">
      <c r="A36" s="143" t="inlineStr">
        <is>
          <t>ACM SSL (included)</t>
        </is>
      </c>
      <c r="B36" s="143" t="inlineStr">
        <is>
          <t>Heroku</t>
        </is>
      </c>
      <c r="C36" s="143" t="inlineStr">
        <is>
          <t>Heroku Add-ons Pricing</t>
        </is>
      </c>
      <c r="D36" s="143" t="inlineStr">
        <is>
          <t>ACM SSL</t>
        </is>
      </c>
      <c r="E36" s="144" t="n">
        <v>0</v>
      </c>
      <c r="F36" s="143" t="inlineStr">
        <is>
          <t>—</t>
        </is>
      </c>
      <c r="G36" s="132" t="inlineStr">
        <is>
          <t>—</t>
        </is>
      </c>
      <c r="H36" s="143" t="inlineStr">
        <is>
          <t>TLS</t>
        </is>
      </c>
      <c r="I36" s="143" t="inlineStr">
        <is>
          <t>Free with paid dynos</t>
        </is>
      </c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</row>
    <row r="37">
      <c r="A37" s="128" t="inlineStr">
        <is>
          <t>Papertrail logs (optional free tier)</t>
        </is>
      </c>
      <c r="B37" s="128" t="inlineStr">
        <is>
          <t>Papertrail</t>
        </is>
      </c>
      <c r="C37" s="128" t="inlineStr">
        <is>
          <t>Heroku Add-ons Pricing</t>
        </is>
      </c>
      <c r="D37" s="128" t="inlineStr">
        <is>
          <t>Choklad</t>
        </is>
      </c>
      <c r="E37" s="145" t="n">
        <v>0</v>
      </c>
      <c r="F37" s="128" t="inlineStr">
        <is>
          <t>—</t>
        </is>
      </c>
      <c r="G37" s="123" t="inlineStr">
        <is>
          <t>—</t>
        </is>
      </c>
      <c r="H37" s="128" t="inlineStr">
        <is>
          <t>Logging</t>
        </is>
      </c>
      <c r="I37" s="128" t="inlineStr">
        <is>
          <t>Upgrade later if needed</t>
        </is>
      </c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</row>
    <row r="38">
      <c r="A38" s="128" t="inlineStr">
        <is>
          <t>Redis — NOT required (cookie sessions)</t>
        </is>
      </c>
      <c r="B38" s="128" t="inlineStr">
        <is>
          <t>Heroku KVS</t>
        </is>
      </c>
      <c r="C38" s="128" t="inlineStr">
        <is>
          <t>Heroku Add-ons Pricing</t>
        </is>
      </c>
      <c r="D38" s="128" t="inlineStr">
        <is>
          <t>Not provisioned</t>
        </is>
      </c>
      <c r="E38" s="145" t="n">
        <v>0</v>
      </c>
      <c r="F38" s="128" t="inlineStr">
        <is>
          <t>—</t>
        </is>
      </c>
      <c r="G38" s="123" t="inlineStr">
        <is>
          <t>—</t>
        </is>
      </c>
      <c r="H38" s="128" t="inlineStr">
        <is>
          <t>N/A</t>
        </is>
      </c>
      <c r="I38" s="128" t="inlineStr">
        <is>
          <t>Skip unless architecture changes</t>
        </is>
      </c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8" t="n"/>
      <c r="U38" s="128" t="n"/>
      <c r="V38" s="128" t="n"/>
      <c r="W38" s="128" t="n"/>
      <c r="X38" s="128" t="n"/>
      <c r="Y38" s="128" t="n"/>
    </row>
    <row r="39">
      <c r="A39" s="128" t="inlineStr">
        <is>
          <t>AI code editor (tooling, not runtime)</t>
        </is>
      </c>
      <c r="B39" s="128" t="inlineStr">
        <is>
          <t>Cursor</t>
        </is>
      </c>
      <c r="C39" s="128" t="inlineStr">
        <is>
          <t>Cursor Plan Pricing</t>
        </is>
      </c>
      <c r="D39" s="128" t="inlineStr">
        <is>
          <t>Pro (current)</t>
        </is>
      </c>
      <c r="E39" s="145" t="n">
        <v>60</v>
      </c>
      <c r="F39" s="128" t="n"/>
      <c r="G39" s="128" t="n"/>
      <c r="H39" s="128" t="n"/>
      <c r="I39" s="128" t="inlineStr">
        <is>
          <t>Separate from Heroku cloud runtime costs.</t>
        </is>
      </c>
      <c r="J39" s="128" t="n"/>
      <c r="K39" s="128" t="n"/>
      <c r="L39" s="128" t="inlineStr">
        <is>
          <t>Pro</t>
        </is>
      </c>
      <c r="M39" s="145" t="n">
        <v>60</v>
      </c>
      <c r="N39" s="128" t="n"/>
      <c r="O39" s="128" t="n"/>
      <c r="P39" s="128" t="n"/>
      <c r="Q39" s="128" t="n"/>
      <c r="R39" s="128" t="n"/>
      <c r="S39" s="128" t="n"/>
      <c r="T39" s="128" t="n"/>
      <c r="U39" s="128" t="n"/>
      <c r="V39" s="128" t="n"/>
      <c r="W39" s="128" t="n"/>
      <c r="X39" s="128" t="n"/>
      <c r="Y39" s="128" t="n"/>
    </row>
    <row r="40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  <c r="V40" s="128" t="n"/>
      <c r="W40" s="128" t="n"/>
      <c r="X40" s="128" t="n"/>
      <c r="Y40" s="128" t="n"/>
    </row>
    <row r="41">
      <c r="A41" s="146" t="inlineStr">
        <is>
          <t>MONTHLY COST TOTALS (Heroku)</t>
        </is>
      </c>
      <c r="B41" s="128" t="n"/>
      <c r="C41" s="128" t="n"/>
      <c r="D41" s="147" t="inlineStr">
        <is>
          <t>Scenario</t>
        </is>
      </c>
      <c r="E41" s="147" t="inlineStr">
        <is>
          <t>Total Cost</t>
        </is>
      </c>
      <c r="F41" s="128" t="n"/>
      <c r="G41" s="128" t="n"/>
      <c r="H41" s="128" t="n"/>
      <c r="I41" s="128" t="inlineStr">
        <is>
          <t>Stack</t>
        </is>
      </c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8" t="n"/>
      <c r="U41" s="128" t="n"/>
      <c r="V41" s="128" t="n"/>
      <c r="W41" s="128" t="n"/>
      <c r="X41" s="128" t="n"/>
      <c r="Y41" s="128" t="n"/>
    </row>
    <row r="42">
      <c r="A42" s="128" t="n"/>
      <c r="B42" s="128" t="n"/>
      <c r="C42" s="128" t="n"/>
      <c r="D42" s="148" t="inlineStr">
        <is>
          <t>Development Monthly</t>
        </is>
      </c>
      <c r="E42" s="149">
        <f>E23+E29</f>
        <v/>
      </c>
      <c r="F42" s="128" t="n"/>
      <c r="G42" s="128" t="n"/>
      <c r="H42" s="128" t="n"/>
      <c r="I42" s="150" t="inlineStr">
        <is>
          <t>Eco + Essential-0</t>
        </is>
      </c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8" t="n"/>
      <c r="U42" s="128" t="n"/>
      <c r="V42" s="128" t="n"/>
      <c r="W42" s="128" t="n"/>
      <c r="X42" s="128" t="n"/>
      <c r="Y42" s="128" t="n"/>
    </row>
    <row r="43">
      <c r="A43" s="128" t="n"/>
      <c r="B43" s="128" t="n"/>
      <c r="C43" s="128" t="n"/>
      <c r="D43" s="151" t="inlineStr">
        <is>
          <t>Lean Production Monthly</t>
        </is>
      </c>
      <c r="E43" s="152">
        <f>E25+E32+E35</f>
        <v/>
      </c>
      <c r="F43" s="128" t="n"/>
      <c r="G43" s="128" t="n"/>
      <c r="H43" s="128" t="n"/>
      <c r="I43" s="153" t="inlineStr">
        <is>
          <t>Standard-1X + Standard-0 + Bucketeer</t>
        </is>
      </c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8" t="n"/>
      <c r="U43" s="128" t="n"/>
      <c r="V43" s="128" t="n"/>
      <c r="W43" s="128" t="n"/>
      <c r="X43" s="128" t="n"/>
      <c r="Y43" s="128" t="n"/>
    </row>
    <row r="44">
      <c r="A44" s="128" t="n"/>
      <c r="B44" s="128" t="n"/>
      <c r="C44" s="128" t="n"/>
      <c r="D44" s="154" t="inlineStr">
        <is>
          <t>RECOMMENDED Production Monthly</t>
        </is>
      </c>
      <c r="E44" s="144">
        <f>E25+E33+E35+E36</f>
        <v/>
      </c>
      <c r="F44" s="128" t="n"/>
      <c r="G44" s="128" t="n"/>
      <c r="H44" s="128" t="n"/>
      <c r="I44" s="143" t="inlineStr">
        <is>
          <t>Standard-1X + Premium-0 HA + Bucketeer + ACM</t>
        </is>
      </c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</row>
    <row r="45">
      <c r="A45" s="128" t="n"/>
      <c r="B45" s="128" t="n"/>
      <c r="C45" s="128" t="n"/>
      <c r="D45" s="154" t="inlineStr">
        <is>
          <t>Recommended Production Annual</t>
        </is>
      </c>
      <c r="E45" s="144">
        <f>(E25+E33+E35+E36)*12</f>
        <v/>
      </c>
      <c r="F45" s="128" t="n"/>
      <c r="G45" s="128" t="n"/>
      <c r="H45" s="128" t="n"/>
      <c r="I45" s="143" t="inlineStr">
        <is>
          <t>Recommended × 12</t>
        </is>
      </c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</row>
    <row r="46">
      <c r="A46" s="128" t="n"/>
      <c r="B46" s="128" t="n"/>
      <c r="C46" s="128" t="n"/>
      <c r="D46" s="148" t="inlineStr">
        <is>
          <t>Development Annual</t>
        </is>
      </c>
      <c r="E46" s="149">
        <f>(E23+E29)*12</f>
        <v/>
      </c>
      <c r="F46" s="128" t="n"/>
      <c r="G46" s="128" t="n"/>
      <c r="H46" s="128" t="n"/>
      <c r="I46" s="150" t="inlineStr">
        <is>
          <t>Dev × 12</t>
        </is>
      </c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n"/>
      <c r="Y46" s="128" t="n"/>
    </row>
    <row r="47">
      <c r="A47" s="128" t="n"/>
      <c r="B47" s="128" t="n"/>
      <c r="C47" s="128" t="n"/>
      <c r="D47" s="151" t="inlineStr">
        <is>
          <t>Lean Production Annual</t>
        </is>
      </c>
      <c r="E47" s="152">
        <f>(E25+E32+E35)*12</f>
        <v/>
      </c>
      <c r="F47" s="128" t="n"/>
      <c r="G47" s="128" t="n"/>
      <c r="H47" s="128" t="n"/>
      <c r="I47" s="153" t="inlineStr">
        <is>
          <t>Lean × 12</t>
        </is>
      </c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8" t="n"/>
      <c r="U47" s="128" t="n"/>
      <c r="V47" s="128" t="n"/>
      <c r="W47" s="128" t="n"/>
      <c r="X47" s="128" t="n"/>
      <c r="Y47" s="128" t="n"/>
    </row>
    <row r="48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</row>
    <row r="49">
      <c r="A49" s="128" t="inlineStr">
        <is>
          <t>See 'Cloud Expenses' sheet for full column detail and color legend.</t>
        </is>
      </c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</row>
    <row r="50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</row>
    <row r="51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8" t="n"/>
      <c r="U51" s="128" t="n"/>
      <c r="V51" s="128" t="n"/>
      <c r="W51" s="128" t="n"/>
      <c r="X51" s="128" t="n"/>
      <c r="Y51" s="128" t="n"/>
    </row>
    <row r="52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28" t="n"/>
      <c r="U52" s="128" t="n"/>
      <c r="V52" s="128" t="n"/>
      <c r="W52" s="128" t="n"/>
      <c r="X52" s="128" t="n"/>
      <c r="Y52" s="128" t="n"/>
    </row>
    <row r="53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8" t="n"/>
      <c r="P53" s="128" t="n"/>
      <c r="Q53" s="128" t="n"/>
      <c r="R53" s="128" t="n"/>
      <c r="S53" s="128" t="n"/>
      <c r="T53" s="128" t="n"/>
      <c r="U53" s="128" t="n"/>
      <c r="V53" s="128" t="n"/>
      <c r="W53" s="128" t="n"/>
      <c r="X53" s="128" t="n"/>
      <c r="Y53" s="128" t="n"/>
    </row>
    <row r="54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8" t="n"/>
      <c r="U54" s="128" t="n"/>
      <c r="V54" s="128" t="n"/>
      <c r="W54" s="128" t="n"/>
      <c r="X54" s="128" t="n"/>
      <c r="Y54" s="128" t="n"/>
    </row>
    <row r="5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8" t="n"/>
      <c r="U55" s="128" t="n"/>
      <c r="V55" s="128" t="n"/>
      <c r="W55" s="128" t="n"/>
      <c r="X55" s="128" t="n"/>
      <c r="Y55" s="128" t="n"/>
    </row>
    <row r="56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</row>
    <row r="57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</row>
    <row r="58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</row>
    <row r="59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</row>
    <row r="60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128" t="n"/>
      <c r="U60" s="128" t="n"/>
      <c r="V60" s="128" t="n"/>
      <c r="W60" s="128" t="n"/>
      <c r="X60" s="128" t="n"/>
      <c r="Y60" s="128" t="n"/>
    </row>
  </sheetData>
  <hyperlinks>
    <hyperlink xmlns:r="http://schemas.openxmlformats.org/officeDocument/2006/relationships" ref="L2" location="Specs" r:id="rId1"/>
    <hyperlink xmlns:r="http://schemas.openxmlformats.org/officeDocument/2006/relationships" ref="N2" location="Specs" r:id="rId2"/>
    <hyperlink xmlns:r="http://schemas.openxmlformats.org/officeDocument/2006/relationships" ref="B3" r:id="rId3"/>
    <hyperlink xmlns:r="http://schemas.openxmlformats.org/officeDocument/2006/relationships" ref="L3" r:id="rId4"/>
    <hyperlink xmlns:r="http://schemas.openxmlformats.org/officeDocument/2006/relationships" ref="N3" r:id="rId5"/>
    <hyperlink xmlns:r="http://schemas.openxmlformats.org/officeDocument/2006/relationships" ref="B4" r:id="rId6"/>
    <hyperlink xmlns:r="http://schemas.openxmlformats.org/officeDocument/2006/relationships" ref="B5" r:id="rId7"/>
    <hyperlink xmlns:r="http://schemas.openxmlformats.org/officeDocument/2006/relationships" ref="L5" r:id="rId8"/>
    <hyperlink xmlns:r="http://schemas.openxmlformats.org/officeDocument/2006/relationships" ref="B6" r:id="rId9"/>
    <hyperlink xmlns:r="http://schemas.openxmlformats.org/officeDocument/2006/relationships" ref="L6" r:id="rId10"/>
    <hyperlink xmlns:r="http://schemas.openxmlformats.org/officeDocument/2006/relationships" ref="B10" r:id="rId11"/>
    <hyperlink xmlns:r="http://schemas.openxmlformats.org/officeDocument/2006/relationships" ref="L10" r:id="rId12"/>
    <hyperlink xmlns:r="http://schemas.openxmlformats.org/officeDocument/2006/relationships" ref="B11" r:id="rId13"/>
    <hyperlink xmlns:r="http://schemas.openxmlformats.org/officeDocument/2006/relationships" ref="B12" r:id="rId14"/>
    <hyperlink xmlns:r="http://schemas.openxmlformats.org/officeDocument/2006/relationships" ref="B13" r:id="rId15"/>
    <hyperlink xmlns:r="http://schemas.openxmlformats.org/officeDocument/2006/relationships" ref="B15" r:id="rId16"/>
    <hyperlink xmlns:r="http://schemas.openxmlformats.org/officeDocument/2006/relationships" ref="C20" r:id="rId17"/>
    <hyperlink xmlns:r="http://schemas.openxmlformats.org/officeDocument/2006/relationships" ref="N20" location="workload-cost-estimates" r:id="rId18"/>
    <hyperlink xmlns:r="http://schemas.openxmlformats.org/officeDocument/2006/relationships" ref="C21" location="pricing-table" r:id="rId19"/>
    <hyperlink xmlns:r="http://schemas.openxmlformats.org/officeDocument/2006/relationships" ref="C22" location="dynos" r:id="rId20"/>
    <hyperlink xmlns:r="http://schemas.openxmlformats.org/officeDocument/2006/relationships" ref="C23" location="common-runtime-dyno-usage-and-costs" r:id="rId21"/>
    <hyperlink xmlns:r="http://schemas.openxmlformats.org/officeDocument/2006/relationships" ref="C24" location="managed-data-services" r:id="rId22"/>
  </hyperlinks>
  <pageMargins left="0.25" right="0.25" top="0.75" bottom="0.75" header="0.3" footer="0.3"/>
  <pageSetup orientation="landscape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"/>
  <sheetViews>
    <sheetView tabSelected="1" topLeftCell="A2" workbookViewId="0">
      <selection activeCell="A8" sqref="A8:A9"/>
    </sheetView>
  </sheetViews>
  <sheetFormatPr baseColWidth="8" defaultRowHeight="15"/>
  <cols>
    <col width="55" customWidth="1" min="1" max="1"/>
    <col width="18" bestFit="1" customWidth="1" min="2" max="2"/>
    <col width="28" customWidth="1" min="3" max="3"/>
    <col width="36" customWidth="1" min="4" max="4"/>
    <col width="18" customWidth="1" min="5" max="5"/>
    <col width="16.28515625" customWidth="1" min="6" max="6"/>
    <col width="16" customWidth="1" min="7" max="17"/>
    <col width="14" customWidth="1" min="8" max="8"/>
    <col width="12" customWidth="1" min="9" max="9"/>
    <col width="28" customWidth="1" min="10" max="10"/>
    <col width="22" customWidth="1" min="11" max="11"/>
    <col width="70" customWidth="1" min="12" max="12"/>
    <col width="14" customWidth="1" min="13" max="13"/>
    <col width="14" customWidth="1" min="14" max="14"/>
    <col width="18" customWidth="1" min="15" max="15"/>
    <col width="24.42578125" customWidth="1" min="18" max="18"/>
    <col width="16.42578125" customWidth="1" min="19" max="19"/>
    <col width="16" customWidth="1" min="20" max="23"/>
    <col width="28" customWidth="1" min="24" max="24"/>
    <col width="18" customWidth="1" min="25" max="25"/>
    <col width="26.28515625" bestFit="1" customWidth="1" min="26" max="26"/>
    <col width="38.140625" bestFit="1" customWidth="1" min="27" max="27"/>
    <col width="27.28515625" bestFit="1" customWidth="1" min="28" max="28"/>
    <col width="31.5703125" customWidth="1" min="29" max="29"/>
    <col width="25.140625" customWidth="1" min="30" max="30"/>
    <col width="21" customWidth="1" min="31" max="31"/>
  </cols>
  <sheetData>
    <row r="1" ht="66.75" customHeight="1">
      <c r="A1" s="78" t="n"/>
      <c r="B1" s="78" t="n"/>
      <c r="C1" s="114" t="inlineStr">
        <is>
          <t>Pricing Options</t>
        </is>
      </c>
      <c r="D1" s="114" t="inlineStr">
        <is>
          <t>Plan</t>
        </is>
      </c>
      <c r="E1" s="114" t="inlineStr">
        <is>
          <t>Estimated Monthly Plan Cost</t>
        </is>
      </c>
      <c r="F1" s="114" t="inlineStr">
        <is>
          <t>Estimated Usage Cost</t>
        </is>
      </c>
      <c r="G1" s="114" t="inlineStr">
        <is>
          <t>RAM / Specs</t>
        </is>
      </c>
      <c r="H1" s="114" t="inlineStr">
        <is>
          <t>Storage GB Included</t>
        </is>
      </c>
      <c r="I1" s="114" t="inlineStr">
        <is>
          <t>Connections</t>
        </is>
      </c>
      <c r="J1" s="114" t="inlineStr">
        <is>
          <t>HA / Redundancy</t>
        </is>
      </c>
      <c r="K1" s="114" t="inlineStr">
        <is>
          <t>Max Downtime / Month</t>
        </is>
      </c>
      <c r="L1" s="114" t="inlineStr">
        <is>
          <t>Notes / Why</t>
        </is>
      </c>
      <c r="M1" s="114" t="inlineStr">
        <is>
          <t>Include in Recommended Prod?</t>
        </is>
      </c>
      <c r="N1" s="114" t="inlineStr">
        <is>
          <t>Include in Lean Prod?</t>
        </is>
      </c>
      <c r="O1" s="114" t="inlineStr">
        <is>
          <t>Include in Dev?</t>
        </is>
      </c>
      <c r="P1" s="114" t="inlineStr">
        <is>
          <t>Annual Cost (Recommended if flagged)</t>
        </is>
      </c>
      <c r="Q1" s="78" t="inlineStr">
        <is>
          <t>Estimated Database Storage Cost / Month</t>
        </is>
      </c>
      <c r="R1" s="78" t="inlineStr">
        <is>
          <t>Estimated Active Capacity Hours per month</t>
        </is>
      </c>
      <c r="S1" s="78" t="inlineStr">
        <is>
          <t>Estimated Compute Hours / day</t>
        </is>
      </c>
      <c r="T1" s="79" t="inlineStr">
        <is>
          <t>Compute Hours / work week</t>
        </is>
      </c>
      <c r="U1" s="79" t="inlineStr">
        <is>
          <t>Estimated Compute Hours / Month</t>
        </is>
      </c>
      <c r="V1" s="79" t="inlineStr">
        <is>
          <t>Estimated coster per CU-Hour (@ 4gb ram)</t>
        </is>
      </c>
      <c r="W1" s="79" t="inlineStr">
        <is>
          <t>Estimated Compute Hours Cost per Month</t>
        </is>
      </c>
      <c r="X1" s="78" t="inlineStr">
        <is>
          <t>Current Plan in Development</t>
        </is>
      </c>
      <c r="Y1" s="78" t="inlineStr">
        <is>
          <t>Estimated Current Plan Cost While in Development / Month</t>
        </is>
      </c>
      <c r="Z1" s="78" t="n"/>
      <c r="AA1" s="20" t="n"/>
      <c r="AB1" s="2" t="n"/>
      <c r="AC1" s="2" t="n"/>
      <c r="AD1" s="2" t="n"/>
      <c r="AE1" s="2" t="n"/>
    </row>
    <row r="2" ht="160.5" customFormat="1" customHeight="1" s="92">
      <c r="A2" s="81" t="inlineStr">
        <is>
          <t>fully managed, serverless PostgreSQL database platform designed for modern cloud-native applications and AI workflows</t>
        </is>
      </c>
      <c r="B2" s="82" t="inlineStr">
        <is>
          <t>Neon</t>
        </is>
      </c>
      <c r="C2" s="83" t="inlineStr">
        <is>
          <t>Neon Pricing</t>
        </is>
      </c>
      <c r="D2" s="82" t="inlineStr">
        <is>
          <t>Launch- Usage Based - Low Load, 5 GB</t>
        </is>
      </c>
      <c r="E2" s="115" t="n">
        <v>22</v>
      </c>
      <c r="F2" s="82" t="n"/>
      <c r="G2" s="82" t="n">
        <v>12</v>
      </c>
      <c r="H2" s="116" t="n">
        <v>0.35</v>
      </c>
      <c r="I2" s="116">
        <f>G2*H2</f>
        <v/>
      </c>
      <c r="J2" s="116" t="n">
        <v>0.09</v>
      </c>
      <c r="K2" s="116">
        <f>G2*J2</f>
        <v/>
      </c>
      <c r="L2" s="82" t="inlineStr">
        <is>
          <t>Optional alternative to Heroku Postgres. Skip once Heroku Postgres is system of record.</t>
        </is>
      </c>
      <c r="M2" s="82" t="inlineStr">
        <is>
          <t>No</t>
        </is>
      </c>
      <c r="N2" s="116" t="inlineStr">
        <is>
          <t>No</t>
        </is>
      </c>
      <c r="O2" s="82" t="inlineStr">
        <is>
          <t>No (use Heroku Essential-0 instead)</t>
        </is>
      </c>
      <c r="P2" s="116" t="n">
        <v>0.2</v>
      </c>
      <c r="Q2" s="116">
        <f>O2*P2</f>
        <v/>
      </c>
      <c r="R2" s="82" t="n">
        <v>10</v>
      </c>
      <c r="S2" s="82" t="n">
        <v>3</v>
      </c>
      <c r="T2" s="82">
        <f>S2*6</f>
        <v/>
      </c>
      <c r="U2" s="82">
        <f t="array" ref="U2">T2*Weeks.Month</f>
        <v/>
      </c>
      <c r="V2" s="82" t="n">
        <v>0.106</v>
      </c>
      <c r="W2" s="82">
        <f>U2*V2</f>
        <v/>
      </c>
      <c r="X2" s="82" t="inlineStr">
        <is>
          <t>Free</t>
        </is>
      </c>
      <c r="Y2" s="117" t="n">
        <v>0</v>
      </c>
      <c r="Z2" s="87" t="inlineStr">
        <is>
          <t>For a single compute, the calculation works similar to this:</t>
        </is>
      </c>
      <c r="AA2" s="88" t="inlineStr">
        <is>
          <t>Monthly CU-hours = [average CU size] × [number of hours the compute runs in the month]</t>
        </is>
      </c>
      <c r="AB2" s="89" t="inlineStr">
        <is>
          <t>Monthly compute cost = [monthly CU-hours] × [CU-hour price]</t>
        </is>
      </c>
      <c r="AC2" s="90" t="inlineStr">
        <is>
          <t>Object Storage is $0.023 per GB-month of stored volume. There's no per-operation charge. Egress counts toward your public network transfer allowance. The Free plan includes 5 GB of Object Storage per project.</t>
        </is>
      </c>
      <c r="AD2" s="90" t="inlineStr">
        <is>
          <t>Functions are billed for active compute, waiting compute, and invocations at the rates in the plan table. The Free plan includes 10 active capacity-hours, 400 waiting capacity-hours, and 1 million invocations per month.</t>
        </is>
      </c>
      <c r="AE2" s="91" t="inlineStr">
        <is>
          <t>AI Gateway is available on Launch and Scale. Pricing matches the model provider's list prices, with no markup, and draws down prepaid credits. Learn how prepaid credits work, or see per-model rates</t>
        </is>
      </c>
    </row>
    <row r="3" ht="80.25" customHeight="1">
      <c r="A3" s="25" t="inlineStr">
        <is>
          <t>No need to use! Redundant use case due to heroku handeling front end and backend</t>
        </is>
      </c>
      <c r="B3" s="7" t="inlineStr">
        <is>
          <t>Netlify</t>
        </is>
      </c>
      <c r="C3" s="10" t="inlineStr">
        <is>
          <t>Netlify Pricing</t>
        </is>
      </c>
      <c r="D3" s="7" t="n"/>
      <c r="E3" s="113" t="n"/>
      <c r="F3" s="7" t="n"/>
      <c r="G3" s="7" t="n"/>
      <c r="H3" s="7" t="n"/>
      <c r="I3" s="7" t="n"/>
      <c r="J3" s="7" t="n"/>
      <c r="K3" s="7" t="n"/>
      <c r="L3" s="7" t="inlineStr">
        <is>
          <t>Redundant — Heroku hosts frontend + backend.</t>
        </is>
      </c>
      <c r="M3" s="7" t="inlineStr">
        <is>
          <t>No</t>
        </is>
      </c>
      <c r="N3" s="7" t="inlineStr">
        <is>
          <t>No</t>
        </is>
      </c>
      <c r="O3" s="7" t="inlineStr">
        <is>
          <t>No</t>
        </is>
      </c>
      <c r="P3" s="7" t="n"/>
      <c r="Q3" s="7" t="n"/>
      <c r="R3" s="7" t="n"/>
      <c r="S3" s="7" t="n"/>
      <c r="T3" s="45" t="n"/>
      <c r="U3" s="45" t="n"/>
      <c r="V3" s="45" t="n"/>
      <c r="W3" s="45" t="n"/>
      <c r="X3" s="7" t="inlineStr">
        <is>
          <t>Free</t>
        </is>
      </c>
      <c r="Y3" s="102" t="n">
        <v>0</v>
      </c>
      <c r="Z3" s="7" t="n"/>
      <c r="AA3" s="80" t="n"/>
      <c r="AB3" s="2" t="n"/>
      <c r="AC3" s="2" t="n"/>
      <c r="AD3" s="2" t="n"/>
      <c r="AE3" s="2" t="n"/>
    </row>
    <row r="4" ht="118.5" customHeight="1">
      <c r="A4" s="118" t="inlineStr">
        <is>
          <t>Heroku Dynos — app compute (Next.js web process)</t>
        </is>
      </c>
      <c r="B4" s="119" t="n"/>
      <c r="C4" s="120" t="inlineStr">
        <is>
          <t>Heroku Dynos Pricing</t>
        </is>
      </c>
      <c r="D4" s="121" t="n"/>
      <c r="E4" s="122" t="n"/>
      <c r="F4" s="123" t="n"/>
      <c r="G4" s="123" t="n"/>
      <c r="H4" s="123" t="n"/>
      <c r="I4" s="123" t="n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4" t="n"/>
      <c r="U4" s="124" t="n"/>
      <c r="V4" s="124" t="n"/>
      <c r="W4" s="124" t="n"/>
      <c r="X4" s="123" t="n"/>
      <c r="Y4" s="125" t="n"/>
      <c r="Z4" s="123" t="n"/>
      <c r="AA4" s="126" t="n"/>
      <c r="AB4" s="127" t="n"/>
      <c r="AC4" s="127" t="n"/>
      <c r="AD4" s="127" t="n"/>
      <c r="AE4" s="127" t="n"/>
    </row>
    <row r="5" ht="118.5" customHeight="1">
      <c r="A5" s="128" t="inlineStr">
        <is>
          <t>cloud-based PaaS dyno for running the Saltbox Next.js app</t>
        </is>
      </c>
      <c r="B5" s="128" t="inlineStr">
        <is>
          <t>Heroku</t>
        </is>
      </c>
      <c r="C5" s="121" t="inlineStr">
        <is>
          <t>Heroku Dynos Pricing</t>
        </is>
      </c>
      <c r="D5" s="121" t="inlineStr">
        <is>
          <t>Eco</t>
        </is>
      </c>
      <c r="E5" s="129" t="n">
        <v>5</v>
      </c>
      <c r="F5" s="123" t="n"/>
      <c r="G5" s="123" t="inlineStr">
        <is>
          <t>0.5 GB</t>
        </is>
      </c>
      <c r="H5" s="123" t="inlineStr">
        <is>
          <t>—</t>
        </is>
      </c>
      <c r="I5" s="123" t="inlineStr">
        <is>
          <t>—</t>
        </is>
      </c>
      <c r="J5" s="123" t="inlineStr">
        <is>
          <t>No (sleeps)</t>
        </is>
      </c>
      <c r="K5" s="123" t="inlineStr">
        <is>
          <t>Sleeps after 30 min idle</t>
        </is>
      </c>
      <c r="L5" s="123" t="inlineStr">
        <is>
          <t>Dev only. Not for warehouse production — cold starts break connectivity.</t>
        </is>
      </c>
      <c r="M5" s="123" t="inlineStr">
        <is>
          <t>No</t>
        </is>
      </c>
      <c r="N5" s="123" t="inlineStr">
        <is>
          <t>No</t>
        </is>
      </c>
      <c r="O5" s="130" t="inlineStr">
        <is>
          <t>Yes</t>
        </is>
      </c>
      <c r="P5" s="123" t="n"/>
      <c r="Q5" s="123" t="n"/>
      <c r="R5" s="123" t="n"/>
      <c r="S5" s="123" t="n"/>
      <c r="T5" s="124" t="n"/>
      <c r="U5" s="124" t="n"/>
      <c r="V5" s="124" t="n"/>
      <c r="W5" s="124" t="n"/>
      <c r="X5" s="123" t="inlineStr">
        <is>
          <t>Cedar - Eco Dyno</t>
        </is>
      </c>
      <c r="Y5" s="131" t="n">
        <v>5</v>
      </c>
      <c r="Z5" s="123" t="n"/>
      <c r="AA5" s="126" t="n"/>
      <c r="AB5" s="127" t="n"/>
      <c r="AC5" s="127" t="n"/>
      <c r="AD5" s="127" t="n"/>
      <c r="AE5" s="127" t="n"/>
    </row>
    <row r="6" ht="76.5" customHeight="1">
      <c r="A6" s="128" t="inlineStr">
        <is>
          <t>Always-on entry dyno</t>
        </is>
      </c>
      <c r="B6" s="128" t="inlineStr">
        <is>
          <t>Heroku</t>
        </is>
      </c>
      <c r="C6" s="121" t="inlineStr">
        <is>
          <t>Heroku Dynos Pricing</t>
        </is>
      </c>
      <c r="D6" s="123" t="inlineStr">
        <is>
          <t>Basic</t>
        </is>
      </c>
      <c r="E6" s="129" t="n">
        <v>7</v>
      </c>
      <c r="F6" s="123" t="n"/>
      <c r="G6" s="123" t="inlineStr">
        <is>
          <t>0.5 GB</t>
        </is>
      </c>
      <c r="H6" s="123" t="inlineStr">
        <is>
          <t>—</t>
        </is>
      </c>
      <c r="I6" s="123" t="inlineStr">
        <is>
          <t>—</t>
        </is>
      </c>
      <c r="J6" s="123" t="inlineStr">
        <is>
          <t>No metrics / limited</t>
        </is>
      </c>
      <c r="K6" s="123" t="inlineStr">
        <is>
          <t>Always on</t>
        </is>
      </c>
      <c r="L6" s="123" t="inlineStr">
        <is>
          <t>Always-on but lacks production metrics and zero-downtime deploys.</t>
        </is>
      </c>
      <c r="M6" s="123" t="inlineStr">
        <is>
          <t>No</t>
        </is>
      </c>
      <c r="N6" s="123" t="inlineStr">
        <is>
          <t>No</t>
        </is>
      </c>
      <c r="O6" s="123" t="inlineStr">
        <is>
          <t>No</t>
        </is>
      </c>
      <c r="P6" s="123" t="n"/>
      <c r="Q6" s="123" t="n"/>
      <c r="R6" s="123" t="n"/>
      <c r="S6" s="123" t="n"/>
      <c r="T6" s="124" t="n"/>
      <c r="U6" s="124" t="n"/>
      <c r="V6" s="124" t="n"/>
      <c r="W6" s="124" t="n"/>
      <c r="X6" s="123" t="n"/>
      <c r="Y6" s="125" t="n"/>
      <c r="Z6" s="123" t="n"/>
      <c r="AA6" s="126" t="n"/>
      <c r="AB6" s="127" t="n"/>
      <c r="AC6" s="127" t="n"/>
      <c r="AD6" s="127" t="n"/>
      <c r="AE6" s="127" t="n"/>
    </row>
    <row r="7" ht="60.75" customHeight="1">
      <c r="A7" s="132" t="inlineStr">
        <is>
          <t>Production web dyno (recommended)</t>
        </is>
      </c>
      <c r="B7" s="132" t="inlineStr">
        <is>
          <t>Heroku</t>
        </is>
      </c>
      <c r="C7" s="133" t="inlineStr">
        <is>
          <t>Heroku Dynos Pricing</t>
        </is>
      </c>
      <c r="D7" s="132" t="inlineStr">
        <is>
          <t>Standard-1X</t>
        </is>
      </c>
      <c r="E7" s="134" t="n">
        <v>25</v>
      </c>
      <c r="F7" s="132" t="n"/>
      <c r="G7" s="132" t="inlineStr">
        <is>
          <t>0.5 GB</t>
        </is>
      </c>
      <c r="H7" s="132" t="inlineStr">
        <is>
          <t>—</t>
        </is>
      </c>
      <c r="I7" s="132" t="inlineStr">
        <is>
          <t>—</t>
        </is>
      </c>
      <c r="J7" s="132" t="inlineStr">
        <is>
          <t>Metrics + preboot</t>
        </is>
      </c>
      <c r="K7" s="132" t="inlineStr">
        <is>
          <t>Always on</t>
        </is>
      </c>
      <c r="L7" s="132" t="inlineStr">
        <is>
          <t>Recommended production dyno: metrics, zero-downtime deploys, free ACM SSL, enough for Saltbox ATL concurrent users.</t>
        </is>
      </c>
      <c r="M7" s="132" t="inlineStr">
        <is>
          <t>Yes</t>
        </is>
      </c>
      <c r="N7" s="132" t="inlineStr">
        <is>
          <t>Yes</t>
        </is>
      </c>
      <c r="O7" s="132" t="inlineStr">
        <is>
          <t>No</t>
        </is>
      </c>
      <c r="P7" s="123" t="n"/>
      <c r="Q7" s="123" t="n"/>
      <c r="R7" s="123" t="n"/>
      <c r="S7" s="123" t="n"/>
      <c r="T7" s="124" t="n"/>
      <c r="U7" s="124" t="n"/>
      <c r="V7" s="124" t="n"/>
      <c r="W7" s="124" t="n"/>
      <c r="X7" s="123" t="n"/>
      <c r="Y7" s="125" t="n"/>
      <c r="Z7" s="123" t="n"/>
      <c r="AA7" s="126" t="n"/>
      <c r="AB7" s="123" t="n"/>
      <c r="AC7" s="127" t="n"/>
      <c r="AD7" s="127" t="n"/>
      <c r="AE7" s="127" t="n"/>
    </row>
    <row r="8" ht="48.75" customHeight="1">
      <c r="A8" s="126" t="inlineStr">
        <is>
          <t>Larger production dyno if memory pressure</t>
        </is>
      </c>
      <c r="B8" s="123" t="inlineStr">
        <is>
          <t>Heroku</t>
        </is>
      </c>
      <c r="C8" s="121" t="inlineStr">
        <is>
          <t>Heroku Dynos Pricing</t>
        </is>
      </c>
      <c r="D8" s="123" t="inlineStr">
        <is>
          <t>Standard-2X</t>
        </is>
      </c>
      <c r="E8" s="129" t="n">
        <v>50</v>
      </c>
      <c r="F8" s="123" t="n"/>
      <c r="G8" s="123" t="inlineStr">
        <is>
          <t>1 GB</t>
        </is>
      </c>
      <c r="H8" s="123" t="inlineStr">
        <is>
          <t>—</t>
        </is>
      </c>
      <c r="I8" s="123" t="inlineStr">
        <is>
          <t>—</t>
        </is>
      </c>
      <c r="J8" s="123" t="inlineStr">
        <is>
          <t>Metrics + preboot</t>
        </is>
      </c>
      <c r="K8" s="123" t="inlineStr">
        <is>
          <t>Always on</t>
        </is>
      </c>
      <c r="L8" s="123" t="inlineStr">
        <is>
          <t>Scale-up option if Next.js OOMs on Standard-1X. Not needed at launch.</t>
        </is>
      </c>
      <c r="M8" s="123" t="inlineStr">
        <is>
          <t>No</t>
        </is>
      </c>
      <c r="N8" s="123" t="inlineStr">
        <is>
          <t>No</t>
        </is>
      </c>
      <c r="O8" s="123" t="inlineStr">
        <is>
          <t>No</t>
        </is>
      </c>
      <c r="P8" s="123" t="n"/>
      <c r="Q8" s="123" t="n"/>
      <c r="R8" s="123" t="n"/>
      <c r="S8" s="123" t="n"/>
      <c r="T8" s="124" t="n"/>
      <c r="U8" s="124" t="n"/>
      <c r="V8" s="124" t="n"/>
      <c r="W8" s="124" t="n"/>
      <c r="X8" s="123" t="n"/>
      <c r="Y8" s="125" t="n"/>
      <c r="Z8" s="123" t="n"/>
      <c r="AA8" s="126" t="n"/>
      <c r="AB8" s="127" t="n"/>
      <c r="AC8" s="127" t="n"/>
      <c r="AD8" s="127" t="n"/>
      <c r="AE8" s="127" t="n"/>
    </row>
    <row r="9" ht="48.75" customHeight="1">
      <c r="A9" s="128" t="inlineStr">
        <is>
          <t>Dedicated high-performance dyno</t>
        </is>
      </c>
      <c r="B9" s="128" t="inlineStr">
        <is>
          <t>Heroku</t>
        </is>
      </c>
      <c r="C9" s="121" t="inlineStr">
        <is>
          <t>Heroku Dynos Pricing</t>
        </is>
      </c>
      <c r="D9" s="135" t="inlineStr">
        <is>
          <t>Performance-M</t>
        </is>
      </c>
      <c r="E9" s="136" t="n">
        <v>250</v>
      </c>
      <c r="F9" s="135" t="n"/>
      <c r="G9" s="135" t="inlineStr">
        <is>
          <t>2.5 GB dedicated</t>
        </is>
      </c>
      <c r="H9" s="135" t="inlineStr">
        <is>
          <t>—</t>
        </is>
      </c>
      <c r="I9" s="135" t="inlineStr">
        <is>
          <t>—</t>
        </is>
      </c>
      <c r="J9" s="135" t="inlineStr">
        <is>
          <t>Dedicated CPU</t>
        </is>
      </c>
      <c r="K9" s="135" t="inlineStr">
        <is>
          <t>Always on</t>
        </is>
      </c>
      <c r="L9" s="135" t="inlineStr">
        <is>
          <t>Overkill for Saltbox ATL warehouse inventory scale. Kept for pricing comparison only.</t>
        </is>
      </c>
      <c r="M9" s="135" t="inlineStr">
        <is>
          <t>No</t>
        </is>
      </c>
      <c r="N9" s="135" t="inlineStr">
        <is>
          <t>No</t>
        </is>
      </c>
      <c r="O9" s="135" t="inlineStr">
        <is>
          <t>No</t>
        </is>
      </c>
      <c r="P9" s="135" t="n"/>
      <c r="Q9" s="135" t="n"/>
      <c r="R9" s="135" t="n"/>
      <c r="S9" s="135" t="n"/>
      <c r="T9" s="137" t="n"/>
      <c r="U9" s="137" t="n"/>
      <c r="V9" s="137" t="n"/>
      <c r="W9" s="137" t="n"/>
      <c r="X9" s="135" t="inlineStr">
        <is>
          <t>Cedar Private - Medium (ref)</t>
        </is>
      </c>
      <c r="Y9" s="138" t="n">
        <v>250</v>
      </c>
      <c r="Z9" s="135" t="n"/>
      <c r="AA9" s="123" t="n"/>
      <c r="AB9" s="127" t="n"/>
      <c r="AC9" s="127" t="n"/>
      <c r="AD9" s="127" t="n"/>
      <c r="AE9" s="127" t="n"/>
    </row>
    <row r="10" ht="15.75" customHeight="1">
      <c r="A10" s="118" t="inlineStr">
        <is>
          <t>Heroku Postgres — managed PostgreSQL (DATABASE_URL)</t>
        </is>
      </c>
      <c r="B10" s="119" t="n"/>
      <c r="C10" s="139" t="inlineStr">
        <is>
          <t>Heroku Data Services Pricing</t>
        </is>
      </c>
      <c r="D10" s="123" t="n"/>
      <c r="E10" s="140" t="n"/>
      <c r="F10" s="123" t="n"/>
      <c r="G10" s="123" t="n"/>
      <c r="H10" s="123" t="n"/>
      <c r="I10" s="123" t="n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4" t="n"/>
      <c r="U10" s="124" t="n"/>
      <c r="V10" s="124" t="n"/>
      <c r="W10" s="124" t="n"/>
      <c r="X10" s="123" t="n"/>
      <c r="Y10" s="123" t="n"/>
      <c r="Z10" s="123" t="n"/>
      <c r="AA10" s="123" t="n"/>
      <c r="AB10" s="127" t="n"/>
      <c r="AC10" s="127" t="n"/>
      <c r="AD10" s="127" t="n"/>
      <c r="AE10" s="127" t="n"/>
    </row>
    <row r="11" ht="15.75" customHeight="1">
      <c r="A11" s="123" t="inlineStr">
        <is>
          <t>Shared starter Postgres for development</t>
        </is>
      </c>
      <c r="B11" s="123" t="inlineStr">
        <is>
          <t>Heroku</t>
        </is>
      </c>
      <c r="C11" s="123" t="inlineStr">
        <is>
          <t>Heroku Data Services Pricing</t>
        </is>
      </c>
      <c r="D11" s="123" t="inlineStr">
        <is>
          <t>Essential-0</t>
        </is>
      </c>
      <c r="E11" s="129" t="n">
        <v>5</v>
      </c>
      <c r="F11" s="123" t="n"/>
      <c r="G11" s="123" t="inlineStr">
        <is>
          <t>Shared</t>
        </is>
      </c>
      <c r="H11" s="123" t="n">
        <v>1</v>
      </c>
      <c r="I11" s="123" t="n">
        <v>20</v>
      </c>
      <c r="J11" s="123" t="inlineStr">
        <is>
          <t>No</t>
        </is>
      </c>
      <c r="K11" s="123" t="inlineStr">
        <is>
          <t>~4 hours</t>
        </is>
      </c>
      <c r="L11" s="123" t="inlineStr">
        <is>
          <t>Dev/staging only. Encryption at rest. No fork/follow/HA.</t>
        </is>
      </c>
      <c r="M11" s="123" t="inlineStr">
        <is>
          <t>No</t>
        </is>
      </c>
      <c r="N11" s="123" t="inlineStr">
        <is>
          <t>No</t>
        </is>
      </c>
      <c r="O11" s="130" t="inlineStr">
        <is>
          <t>Yes</t>
        </is>
      </c>
      <c r="P11" s="123" t="n"/>
      <c r="Q11" s="123" t="n"/>
      <c r="R11" s="123" t="n"/>
      <c r="S11" s="123" t="n"/>
      <c r="T11" s="124" t="n"/>
      <c r="U11" s="124" t="n"/>
      <c r="V11" s="124" t="n"/>
      <c r="W11" s="124" t="n"/>
      <c r="X11" s="123" t="inlineStr">
        <is>
          <t>Essential-0</t>
        </is>
      </c>
      <c r="Y11" s="131" t="n">
        <v>5</v>
      </c>
      <c r="Z11" s="123" t="n"/>
      <c r="AA11" s="123" t="n"/>
      <c r="AB11" s="127" t="n"/>
      <c r="AC11" s="127" t="n"/>
      <c r="AD11" s="127" t="n"/>
      <c r="AE11" s="127" t="n"/>
    </row>
    <row r="12" ht="15.75" customHeight="1">
      <c r="A12" s="123" t="inlineStr">
        <is>
          <t>Shared Postgres more storage</t>
        </is>
      </c>
      <c r="B12" s="123" t="inlineStr">
        <is>
          <t>Heroku</t>
        </is>
      </c>
      <c r="C12" s="123" t="inlineStr">
        <is>
          <t>Heroku Data Services Pricing</t>
        </is>
      </c>
      <c r="D12" s="123" t="inlineStr">
        <is>
          <t>Essential-1</t>
        </is>
      </c>
      <c r="E12" s="129" t="n">
        <v>9</v>
      </c>
      <c r="F12" s="123" t="n"/>
      <c r="G12" s="123" t="inlineStr">
        <is>
          <t>Shared</t>
        </is>
      </c>
      <c r="H12" s="123" t="n">
        <v>10</v>
      </c>
      <c r="I12" s="123" t="n">
        <v>20</v>
      </c>
      <c r="J12" s="123" t="inlineStr">
        <is>
          <t>No</t>
        </is>
      </c>
      <c r="K12" s="123" t="inlineStr">
        <is>
          <t>~4 hours</t>
        </is>
      </c>
      <c r="L12" s="123" t="inlineStr">
        <is>
          <t>Dev with more storage headroom.</t>
        </is>
      </c>
      <c r="M12" s="123" t="inlineStr">
        <is>
          <t>No</t>
        </is>
      </c>
      <c r="N12" s="123" t="inlineStr">
        <is>
          <t>No</t>
        </is>
      </c>
      <c r="O12" s="123" t="inlineStr">
        <is>
          <t>No</t>
        </is>
      </c>
      <c r="P12" s="123" t="n"/>
      <c r="Q12" s="123" t="n"/>
      <c r="R12" s="123" t="n"/>
      <c r="S12" s="123" t="n"/>
      <c r="T12" s="124" t="n"/>
      <c r="U12" s="124" t="n"/>
      <c r="V12" s="124" t="n"/>
      <c r="W12" s="124" t="n"/>
      <c r="X12" s="123" t="n"/>
      <c r="Y12" s="123" t="n"/>
      <c r="Z12" s="123" t="n"/>
      <c r="AA12" s="123" t="n"/>
      <c r="AB12" s="127" t="n"/>
      <c r="AC12" s="127" t="n"/>
      <c r="AD12" s="127" t="n"/>
      <c r="AE12" s="127" t="n"/>
    </row>
    <row r="13" ht="15.75" customHeight="1">
      <c r="A13" s="123" t="inlineStr">
        <is>
          <t>Shared Postgres largest Essential</t>
        </is>
      </c>
      <c r="B13" s="123" t="inlineStr">
        <is>
          <t>Heroku</t>
        </is>
      </c>
      <c r="C13" s="123" t="inlineStr">
        <is>
          <t>Heroku Data Services Pricing</t>
        </is>
      </c>
      <c r="D13" s="123" t="inlineStr">
        <is>
          <t>Essential-2</t>
        </is>
      </c>
      <c r="E13" s="129" t="n">
        <v>20</v>
      </c>
      <c r="F13" s="123" t="n"/>
      <c r="G13" s="123" t="inlineStr">
        <is>
          <t>Shared</t>
        </is>
      </c>
      <c r="H13" s="123" t="n">
        <v>32</v>
      </c>
      <c r="I13" s="123" t="n">
        <v>40</v>
      </c>
      <c r="J13" s="123" t="inlineStr">
        <is>
          <t>No</t>
        </is>
      </c>
      <c r="K13" s="123" t="inlineStr">
        <is>
          <t>~4 hours</t>
        </is>
      </c>
      <c r="L13" s="123" t="inlineStr">
        <is>
          <t>Still no HA — not for production redundancy goals.</t>
        </is>
      </c>
      <c r="M13" s="123" t="inlineStr">
        <is>
          <t>No</t>
        </is>
      </c>
      <c r="N13" s="123" t="inlineStr">
        <is>
          <t>No</t>
        </is>
      </c>
      <c r="O13" s="123" t="inlineStr">
        <is>
          <t>No</t>
        </is>
      </c>
      <c r="P13" s="123" t="n"/>
      <c r="Q13" s="123" t="n"/>
      <c r="R13" s="123" t="n"/>
      <c r="S13" s="123" t="n"/>
      <c r="T13" s="124" t="n"/>
      <c r="U13" s="124" t="n"/>
      <c r="V13" s="124" t="n"/>
      <c r="W13" s="124" t="n"/>
      <c r="X13" s="123" t="n"/>
      <c r="Y13" s="123" t="n"/>
      <c r="Z13" s="123" t="n"/>
      <c r="AA13" s="123" t="n"/>
      <c r="AB13" s="127" t="n"/>
      <c r="AC13" s="127" t="n"/>
      <c r="AD13" s="127" t="n"/>
      <c r="AE13" s="127" t="n"/>
    </row>
    <row r="14" ht="15.75" customHeight="1">
      <c r="A14" s="141" t="inlineStr">
        <is>
          <t>Dedicated Postgres lean production</t>
        </is>
      </c>
      <c r="B14" s="141" t="inlineStr">
        <is>
          <t>Heroku</t>
        </is>
      </c>
      <c r="C14" s="141" t="inlineStr">
        <is>
          <t>Heroku Data Services Pricing</t>
        </is>
      </c>
      <c r="D14" s="141" t="inlineStr">
        <is>
          <t>Standard-0</t>
        </is>
      </c>
      <c r="E14" s="142" t="n">
        <v>50</v>
      </c>
      <c r="F14" s="141" t="n"/>
      <c r="G14" s="141" t="inlineStr">
        <is>
          <t>4 GB RAM</t>
        </is>
      </c>
      <c r="H14" s="141" t="n">
        <v>64</v>
      </c>
      <c r="I14" s="141" t="n">
        <v>200</v>
      </c>
      <c r="J14" s="141" t="inlineStr">
        <is>
          <t>Forks/followers; no auto HA</t>
        </is>
      </c>
      <c r="K14" s="141" t="inlineStr">
        <is>
          <t>~1 hour</t>
        </is>
      </c>
      <c r="L14" s="141" t="inlineStr">
        <is>
          <t>Lean production: continuous protection, 4-day rollback, forks. No automatic failover.</t>
        </is>
      </c>
      <c r="M14" s="141" t="inlineStr">
        <is>
          <t>No</t>
        </is>
      </c>
      <c r="N14" s="141" t="inlineStr">
        <is>
          <t>Yes</t>
        </is>
      </c>
      <c r="O14" s="141" t="inlineStr">
        <is>
          <t>No</t>
        </is>
      </c>
      <c r="P14" s="123" t="n"/>
      <c r="Q14" s="123" t="n"/>
      <c r="R14" s="123" t="n"/>
      <c r="S14" s="123" t="n"/>
      <c r="T14" s="124" t="n"/>
      <c r="U14" s="124" t="n"/>
      <c r="V14" s="124" t="n"/>
      <c r="W14" s="124" t="n"/>
      <c r="X14" s="123" t="n"/>
      <c r="Y14" s="123" t="n"/>
      <c r="Z14" s="123" t="n"/>
      <c r="AA14" s="123" t="n"/>
      <c r="AB14" s="127" t="n"/>
      <c r="AC14" s="127" t="n"/>
      <c r="AD14" s="127" t="n"/>
      <c r="AE14" s="127" t="n"/>
    </row>
    <row r="15" ht="15.75" customHeight="1">
      <c r="A15" s="132" t="inlineStr">
        <is>
          <t>Dedicated Postgres with High Availability (recommended)</t>
        </is>
      </c>
      <c r="B15" s="132" t="inlineStr">
        <is>
          <t>Heroku</t>
        </is>
      </c>
      <c r="C15" s="132" t="inlineStr">
        <is>
          <t>Heroku Data Services Pricing</t>
        </is>
      </c>
      <c r="D15" s="132" t="inlineStr">
        <is>
          <t>Premium-0</t>
        </is>
      </c>
      <c r="E15" s="134" t="n">
        <v>200</v>
      </c>
      <c r="F15" s="132" t="n"/>
      <c r="G15" s="132" t="inlineStr">
        <is>
          <t>4 GB RAM</t>
        </is>
      </c>
      <c r="H15" s="132" t="n">
        <v>64</v>
      </c>
      <c r="I15" s="132" t="n">
        <v>200</v>
      </c>
      <c r="J15" s="132" t="inlineStr">
        <is>
          <t>Yes — automatic HA failover</t>
        </is>
      </c>
      <c r="K15" s="132" t="inlineStr">
        <is>
          <t>~15 minutes</t>
        </is>
      </c>
      <c r="L15" s="132" t="inlineStr">
        <is>
          <t>RECOMMENDED for security/connectivity/redundancy: HA standby, 7-day rollback, forks/followers, encryption at rest.</t>
        </is>
      </c>
      <c r="M15" s="132" t="inlineStr">
        <is>
          <t>Yes</t>
        </is>
      </c>
      <c r="N15" s="132" t="inlineStr">
        <is>
          <t>No</t>
        </is>
      </c>
      <c r="O15" s="132" t="inlineStr">
        <is>
          <t>No</t>
        </is>
      </c>
      <c r="P15" s="123" t="n"/>
      <c r="Q15" s="123" t="n"/>
      <c r="R15" s="123" t="n"/>
      <c r="S15" s="123" t="n"/>
      <c r="T15" s="124" t="n"/>
      <c r="U15" s="124" t="n"/>
      <c r="V15" s="124" t="n"/>
      <c r="W15" s="124" t="n"/>
      <c r="X15" s="123" t="n"/>
      <c r="Y15" s="123" t="n"/>
      <c r="Z15" s="123" t="n"/>
      <c r="AA15" s="123" t="n"/>
      <c r="AB15" s="127" t="n"/>
      <c r="AC15" s="127" t="n"/>
      <c r="AD15" s="127" t="n"/>
      <c r="AE15" s="127" t="n"/>
    </row>
    <row r="16" ht="15.75" customHeight="1">
      <c r="A16" s="118" t="inlineStr">
        <is>
          <t>Heroku Add-ons — storage, TLS, logging</t>
        </is>
      </c>
      <c r="B16" s="119" t="n"/>
      <c r="C16" s="139" t="inlineStr">
        <is>
          <t>Heroku Add-ons Pricing</t>
        </is>
      </c>
      <c r="D16" s="123" t="n"/>
      <c r="E16" s="140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4" t="n"/>
      <c r="U16" s="124" t="n"/>
      <c r="V16" s="124" t="n"/>
      <c r="W16" s="124" t="n"/>
      <c r="X16" s="123" t="n"/>
      <c r="Y16" s="123" t="n"/>
      <c r="Z16" s="123" t="n"/>
      <c r="AA16" s="123" t="n"/>
      <c r="AB16" s="127" t="n"/>
      <c r="AC16" s="127" t="n"/>
      <c r="AD16" s="127" t="n"/>
      <c r="AE16" s="127" t="n"/>
    </row>
    <row r="17">
      <c r="A17" s="143" t="inlineStr">
        <is>
          <t>S3 object storage for inventory/shipping photos (data/photos cannot live on ephemeral dyno disk)</t>
        </is>
      </c>
      <c r="B17" s="143" t="inlineStr">
        <is>
          <t>Bucketeer</t>
        </is>
      </c>
      <c r="C17" s="143" t="inlineStr">
        <is>
          <t>Heroku Add-ons Pricing</t>
        </is>
      </c>
      <c r="D17" s="143" t="inlineStr">
        <is>
          <t>Hobbyist</t>
        </is>
      </c>
      <c r="E17" s="144" t="n">
        <v>5</v>
      </c>
      <c r="F17" s="143" t="n"/>
      <c r="G17" s="143" t="inlineStr">
        <is>
          <t>S3 bucket</t>
        </is>
      </c>
      <c r="H17" s="143" t="inlineStr">
        <is>
          <t>—</t>
        </is>
      </c>
      <c r="I17" s="143" t="inlineStr">
        <is>
          <t>—</t>
        </is>
      </c>
      <c r="J17" s="143" t="inlineStr">
        <is>
          <t>Durable object storage</t>
        </is>
      </c>
      <c r="K17" s="143" t="inlineStr">
        <is>
          <t>—</t>
        </is>
      </c>
      <c r="L17" s="143" t="inlineStr">
        <is>
          <t>Required for production photo persistence on Heroku.</t>
        </is>
      </c>
      <c r="M17" s="143" t="inlineStr">
        <is>
          <t>Yes</t>
        </is>
      </c>
      <c r="N17" s="143" t="inlineStr">
        <is>
          <t>Yes</t>
        </is>
      </c>
      <c r="O17" s="143" t="inlineStr">
        <is>
          <t>Optional</t>
        </is>
      </c>
      <c r="P17" s="128" t="n"/>
      <c r="Q17" s="128" t="n"/>
      <c r="R17" s="128" t="n"/>
      <c r="S17" s="128" t="n"/>
      <c r="T17" s="128" t="n"/>
      <c r="U17" s="128" t="n"/>
      <c r="V17" s="128" t="n"/>
      <c r="W17" s="128" t="n"/>
      <c r="X17" s="128" t="n"/>
      <c r="Y17" s="128" t="n"/>
      <c r="Z17" s="128" t="n"/>
      <c r="AA17" s="128" t="n"/>
      <c r="AB17" s="128" t="n"/>
      <c r="AC17" s="128" t="n"/>
      <c r="AD17" s="128" t="n"/>
      <c r="AE17" s="128" t="n"/>
    </row>
    <row r="18">
      <c r="A18" s="143" t="inlineStr">
        <is>
          <t>Automated Certificate Management — free TLS for custom domains</t>
        </is>
      </c>
      <c r="B18" s="143" t="inlineStr">
        <is>
          <t>Heroku ACM SSL</t>
        </is>
      </c>
      <c r="C18" s="143" t="inlineStr">
        <is>
          <t>Heroku Add-ons Pricing</t>
        </is>
      </c>
      <c r="D18" s="143" t="inlineStr">
        <is>
          <t>Included with paid dynos</t>
        </is>
      </c>
      <c r="E18" s="144" t="n">
        <v>0</v>
      </c>
      <c r="F18" s="143" t="n"/>
      <c r="G18" s="143" t="inlineStr">
        <is>
          <t>—</t>
        </is>
      </c>
      <c r="H18" s="143" t="inlineStr">
        <is>
          <t>—</t>
        </is>
      </c>
      <c r="I18" s="143" t="inlineStr">
        <is>
          <t>—</t>
        </is>
      </c>
      <c r="J18" s="143" t="inlineStr">
        <is>
          <t>TLS encryption in transit</t>
        </is>
      </c>
      <c r="K18" s="143" t="inlineStr">
        <is>
          <t>—</t>
        </is>
      </c>
      <c r="L18" s="143" t="inlineStr">
        <is>
          <t>Included at $0 with Basic/Standard/Performance dynos.</t>
        </is>
      </c>
      <c r="M18" s="143" t="inlineStr">
        <is>
          <t>Yes</t>
        </is>
      </c>
      <c r="N18" s="143" t="inlineStr">
        <is>
          <t>Yes</t>
        </is>
      </c>
      <c r="O18" s="143" t="inlineStr">
        <is>
          <t>Yes (with paid dyno)</t>
        </is>
      </c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</row>
    <row r="19">
      <c r="A19" s="128" t="inlineStr">
        <is>
          <t>Optional log drain for ops visibility</t>
        </is>
      </c>
      <c r="B19" s="128" t="inlineStr">
        <is>
          <t>Papertrail</t>
        </is>
      </c>
      <c r="C19" s="128" t="inlineStr">
        <is>
          <t>Heroku Add-ons Pricing</t>
        </is>
      </c>
      <c r="D19" s="128" t="inlineStr">
        <is>
          <t>Choklad (free tier)</t>
        </is>
      </c>
      <c r="E19" s="145" t="n">
        <v>0</v>
      </c>
      <c r="F19" s="128" t="n"/>
      <c r="G19" s="128" t="inlineStr">
        <is>
          <t>—</t>
        </is>
      </c>
      <c r="H19" s="128" t="inlineStr">
        <is>
          <t>—</t>
        </is>
      </c>
      <c r="I19" s="128" t="inlineStr">
        <is>
          <t>—</t>
        </is>
      </c>
      <c r="J19" s="128" t="inlineStr">
        <is>
          <t>Log retention</t>
        </is>
      </c>
      <c r="K19" s="128" t="inlineStr">
        <is>
          <t>—</t>
        </is>
      </c>
      <c r="L19" s="128" t="inlineStr">
        <is>
          <t>Start free; upgrade later if log volume grows (~$7+).</t>
        </is>
      </c>
      <c r="M19" s="128" t="inlineStr">
        <is>
          <t>No</t>
        </is>
      </c>
      <c r="N19" s="128" t="inlineStr">
        <is>
          <t>No</t>
        </is>
      </c>
      <c r="O19" s="128" t="inlineStr">
        <is>
          <t>Optional</t>
        </is>
      </c>
      <c r="P19" s="128" t="n"/>
      <c r="Q19" s="128" t="n"/>
      <c r="R19" s="128" t="n"/>
      <c r="S19" s="128" t="n"/>
      <c r="T19" s="128" t="n"/>
      <c r="U19" s="128" t="n"/>
      <c r="V19" s="128" t="n"/>
      <c r="W19" s="128" t="n"/>
      <c r="X19" s="128" t="n"/>
      <c r="Y19" s="128" t="n"/>
      <c r="Z19" s="128" t="n"/>
      <c r="AA19" s="128" t="n"/>
      <c r="AB19" s="128" t="n"/>
      <c r="AC19" s="128" t="n"/>
      <c r="AD19" s="128" t="n"/>
      <c r="AE19" s="128" t="n"/>
    </row>
    <row r="20">
      <c r="A20" s="128" t="inlineStr">
        <is>
          <t>Redis/Key-Value Store — NOT required (app uses httpOnly cookie sessions)</t>
        </is>
      </c>
      <c r="B20" s="128" t="inlineStr">
        <is>
          <t>Heroku Key-Value Store</t>
        </is>
      </c>
      <c r="C20" s="128" t="inlineStr">
        <is>
          <t>Heroku Add-ons Pricing</t>
        </is>
      </c>
      <c r="D20" s="128" t="inlineStr">
        <is>
          <t>Mini (not needed)</t>
        </is>
      </c>
      <c r="E20" s="145" t="n">
        <v>0</v>
      </c>
      <c r="F20" s="128" t="n"/>
      <c r="G20" s="128" t="inlineStr">
        <is>
          <t>—</t>
        </is>
      </c>
      <c r="H20" s="128" t="inlineStr">
        <is>
          <t>—</t>
        </is>
      </c>
      <c r="I20" s="128" t="inlineStr">
        <is>
          <t>—</t>
        </is>
      </c>
      <c r="J20" s="128" t="inlineStr">
        <is>
          <t>N/A</t>
        </is>
      </c>
      <c r="K20" s="128" t="inlineStr">
        <is>
          <t>—</t>
        </is>
      </c>
      <c r="L20" s="128" t="inlineStr">
        <is>
          <t>Do not provision unless session/cache architecture changes. Mini would be $3/mo if ever needed.</t>
        </is>
      </c>
      <c r="M20" s="128" t="inlineStr">
        <is>
          <t>No</t>
        </is>
      </c>
      <c r="N20" s="128" t="inlineStr">
        <is>
          <t>No</t>
        </is>
      </c>
      <c r="O20" s="128" t="inlineStr">
        <is>
          <t>No</t>
        </is>
      </c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</row>
    <row r="21">
      <c r="A21" s="128" t="inlineStr">
        <is>
          <t>AI-powered code editor / development platform</t>
        </is>
      </c>
      <c r="B21" s="128" t="inlineStr">
        <is>
          <t>Cursor</t>
        </is>
      </c>
      <c r="C21" s="128" t="inlineStr">
        <is>
          <t>Cursor Plan Pricing</t>
        </is>
      </c>
      <c r="D21" s="128" t="inlineStr">
        <is>
          <t>Individual</t>
        </is>
      </c>
      <c r="E21" s="145" t="n">
        <v>20</v>
      </c>
      <c r="F21" s="128" t="n"/>
      <c r="G21" s="128" t="n"/>
      <c r="H21" s="128" t="n"/>
      <c r="I21" s="128" t="n"/>
      <c r="J21" s="128" t="n"/>
      <c r="K21" s="128" t="n"/>
      <c r="L21" s="128" t="inlineStr">
        <is>
          <t>Developer tooling — not a Heroku runtime cost.</t>
        </is>
      </c>
      <c r="M21" s="128" t="inlineStr">
        <is>
          <t>No</t>
        </is>
      </c>
      <c r="N21" s="128" t="inlineStr">
        <is>
          <t>No</t>
        </is>
      </c>
      <c r="O21" s="128" t="inlineStr">
        <is>
          <t>No</t>
        </is>
      </c>
      <c r="P21" s="128" t="n"/>
      <c r="Q21" s="128" t="n"/>
      <c r="R21" s="128" t="n"/>
      <c r="S21" s="128" t="n"/>
      <c r="T21" s="128" t="n"/>
      <c r="U21" s="128" t="n"/>
      <c r="V21" s="128" t="n"/>
      <c r="W21" s="128" t="n"/>
      <c r="X21" s="128" t="inlineStr">
        <is>
          <t>Pro</t>
        </is>
      </c>
      <c r="Y21" s="145" t="n">
        <v>60</v>
      </c>
      <c r="Z21" s="128" t="n"/>
      <c r="AA21" s="128" t="n"/>
      <c r="AB21" s="128" t="n"/>
      <c r="AC21" s="128" t="n"/>
      <c r="AD21" s="128" t="n"/>
      <c r="AE21" s="128" t="n"/>
    </row>
    <row r="22">
      <c r="C22" s="128" t="inlineStr">
        <is>
          <t>Cursor Plan Pricing</t>
        </is>
      </c>
      <c r="D22" s="128" t="inlineStr">
        <is>
          <t>Teams</t>
        </is>
      </c>
      <c r="E22" s="145" t="n">
        <v>40</v>
      </c>
      <c r="F22" s="128" t="n"/>
      <c r="G22" s="128" t="n"/>
      <c r="H22" s="128" t="n"/>
      <c r="I22" s="128" t="n"/>
      <c r="J22" s="128" t="n"/>
      <c r="K22" s="128" t="n"/>
      <c r="L22" s="128" t="n"/>
      <c r="M22" s="128" t="inlineStr">
        <is>
          <t>No</t>
        </is>
      </c>
      <c r="N22" s="128" t="inlineStr">
        <is>
          <t>No</t>
        </is>
      </c>
      <c r="O22" s="128" t="inlineStr">
        <is>
          <t>No</t>
        </is>
      </c>
      <c r="P22" s="128" t="n"/>
      <c r="Q22" s="128" t="n"/>
      <c r="R22" s="128" t="n"/>
      <c r="S22" s="128" t="n"/>
      <c r="T22" s="128" t="n"/>
      <c r="U22" s="128" t="n"/>
      <c r="V22" s="128" t="n"/>
      <c r="W22" s="128" t="n"/>
      <c r="X22" s="128" t="n"/>
      <c r="Y22" s="128" t="n"/>
      <c r="Z22" s="128" t="n"/>
      <c r="AA22" s="128" t="n"/>
      <c r="AB22" s="128" t="n"/>
      <c r="AC22" s="128" t="n"/>
      <c r="AD22" s="128" t="n"/>
      <c r="AE22" s="128" t="n"/>
    </row>
    <row r="23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8" t="n"/>
      <c r="U23" s="128" t="n"/>
      <c r="V23" s="128" t="n"/>
      <c r="W23" s="128" t="n"/>
      <c r="X23" s="128" t="n"/>
      <c r="Y23" s="128" t="n"/>
      <c r="Z23" s="128" t="n"/>
      <c r="AA23" s="128" t="n"/>
      <c r="AB23" s="128" t="n"/>
      <c r="AC23" s="128" t="n"/>
      <c r="AD23" s="128" t="n"/>
      <c r="AE23" s="128" t="n"/>
    </row>
    <row r="24">
      <c r="A24" s="146" t="inlineStr">
        <is>
          <t>MONTHLY COST TOTALS (Heroku Saltbox ATL)</t>
        </is>
      </c>
      <c r="B24" s="128" t="n"/>
      <c r="C24" s="128" t="n"/>
      <c r="D24" s="147" t="inlineStr">
        <is>
          <t>Scenario</t>
        </is>
      </c>
      <c r="E24" s="147" t="inlineStr">
        <is>
          <t>Total Cost</t>
        </is>
      </c>
      <c r="F24" s="128" t="n"/>
      <c r="G24" s="128" t="n"/>
      <c r="H24" s="128" t="n"/>
      <c r="I24" s="128" t="n"/>
      <c r="J24" s="128" t="n"/>
      <c r="K24" s="128" t="n"/>
      <c r="L24" s="128" t="inlineStr">
        <is>
          <t>Stack Composition</t>
        </is>
      </c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  <c r="AB24" s="128" t="n"/>
      <c r="AC24" s="128" t="n"/>
      <c r="AD24" s="128" t="n"/>
      <c r="AE24" s="128" t="n"/>
    </row>
    <row r="25">
      <c r="A25" s="128" t="n"/>
      <c r="B25" s="128" t="n"/>
      <c r="C25" s="128" t="n"/>
      <c r="D25" s="148" t="inlineStr">
        <is>
          <t>Development Monthly</t>
        </is>
      </c>
      <c r="E25" s="149">
        <f>E5+E11</f>
        <v/>
      </c>
      <c r="F25" s="128" t="n"/>
      <c r="G25" s="128" t="n"/>
      <c r="H25" s="128" t="n"/>
      <c r="I25" s="128" t="n"/>
      <c r="J25" s="128" t="n"/>
      <c r="K25" s="128" t="n"/>
      <c r="L25" s="150" t="inlineStr">
        <is>
          <t>Eco dyno + Essential-0 Postgres</t>
        </is>
      </c>
      <c r="M25" s="128" t="n"/>
      <c r="N25" s="128" t="n"/>
      <c r="O25" s="128" t="n"/>
      <c r="P25" s="128" t="n"/>
      <c r="Q25" s="128" t="n"/>
      <c r="R25" s="128" t="n"/>
      <c r="S25" s="128" t="n"/>
      <c r="T25" s="128" t="n"/>
      <c r="U25" s="128" t="n"/>
      <c r="V25" s="128" t="n"/>
      <c r="W25" s="128" t="n"/>
      <c r="X25" s="128" t="n"/>
      <c r="Y25" s="128" t="n"/>
      <c r="Z25" s="128" t="n"/>
      <c r="AA25" s="128" t="n"/>
      <c r="AB25" s="128" t="n"/>
      <c r="AC25" s="128" t="n"/>
      <c r="AD25" s="128" t="n"/>
      <c r="AE25" s="128" t="n"/>
    </row>
    <row r="26">
      <c r="A26" s="128" t="n"/>
      <c r="B26" s="128" t="n"/>
      <c r="C26" s="128" t="n"/>
      <c r="D26" s="151" t="inlineStr">
        <is>
          <t>Lean Production Monthly</t>
        </is>
      </c>
      <c r="E26" s="152">
        <f>E7+E14+E17</f>
        <v/>
      </c>
      <c r="F26" s="128" t="n"/>
      <c r="G26" s="128" t="n"/>
      <c r="H26" s="128" t="n"/>
      <c r="I26" s="128" t="n"/>
      <c r="J26" s="128" t="n"/>
      <c r="K26" s="128" t="n"/>
      <c r="L26" s="153" t="inlineStr">
        <is>
          <t>Standard-1X + Standard-0 + Bucketeer (no auto HA)</t>
        </is>
      </c>
      <c r="M26" s="128" t="n"/>
      <c r="N26" s="128" t="n"/>
      <c r="O26" s="128" t="n"/>
      <c r="P26" s="128" t="n"/>
      <c r="Q26" s="128" t="n"/>
      <c r="R26" s="128" t="n"/>
      <c r="S26" s="128" t="n"/>
      <c r="T26" s="128" t="n"/>
      <c r="U26" s="128" t="n"/>
      <c r="V26" s="128" t="n"/>
      <c r="W26" s="128" t="n"/>
      <c r="X26" s="128" t="n"/>
      <c r="Y26" s="128" t="n"/>
      <c r="Z26" s="128" t="n"/>
      <c r="AA26" s="128" t="n"/>
      <c r="AB26" s="128" t="n"/>
      <c r="AC26" s="128" t="n"/>
      <c r="AD26" s="128" t="n"/>
      <c r="AE26" s="128" t="n"/>
    </row>
    <row r="27">
      <c r="A27" s="128" t="n"/>
      <c r="B27" s="128" t="n"/>
      <c r="C27" s="128" t="n"/>
      <c r="D27" s="154" t="inlineStr">
        <is>
          <t>RECOMMENDED Production Monthly</t>
        </is>
      </c>
      <c r="E27" s="144">
        <f>E7+E15+E17+E18</f>
        <v/>
      </c>
      <c r="F27" s="128" t="n"/>
      <c r="G27" s="128" t="n"/>
      <c r="H27" s="128" t="n"/>
      <c r="I27" s="128" t="n"/>
      <c r="J27" s="128" t="n"/>
      <c r="K27" s="128" t="n"/>
      <c r="L27" s="143" t="inlineStr">
        <is>
          <t>Standard-1X + Premium-0 HA + Bucketeer + ACM SSL</t>
        </is>
      </c>
      <c r="M27" s="128" t="n"/>
      <c r="N27" s="128" t="n"/>
      <c r="O27" s="128" t="n"/>
      <c r="P27" s="128" t="n"/>
      <c r="Q27" s="128" t="n"/>
      <c r="R27" s="128" t="n"/>
      <c r="S27" s="128" t="n"/>
      <c r="T27" s="128" t="n"/>
      <c r="U27" s="128" t="n"/>
      <c r="V27" s="128" t="n"/>
      <c r="W27" s="128" t="n"/>
      <c r="X27" s="128" t="n"/>
      <c r="Y27" s="128" t="n"/>
      <c r="Z27" s="128" t="n"/>
      <c r="AA27" s="128" t="n"/>
      <c r="AB27" s="128" t="n"/>
      <c r="AC27" s="128" t="n"/>
      <c r="AD27" s="128" t="n"/>
      <c r="AE27" s="128" t="n"/>
    </row>
    <row r="28">
      <c r="A28" s="128" t="n"/>
      <c r="B28" s="128" t="n"/>
      <c r="C28" s="128" t="n"/>
      <c r="D28" s="154" t="inlineStr">
        <is>
          <t>Recommended Production Annual</t>
        </is>
      </c>
      <c r="E28" s="144">
        <f>(E7+E15+E17+E18)*12</f>
        <v/>
      </c>
      <c r="F28" s="128" t="n"/>
      <c r="G28" s="128" t="n"/>
      <c r="H28" s="128" t="n"/>
      <c r="I28" s="128" t="n"/>
      <c r="J28" s="128" t="n"/>
      <c r="K28" s="128" t="n"/>
      <c r="L28" s="143" t="inlineStr">
        <is>
          <t>Recommended monthly × 12</t>
        </is>
      </c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  <c r="AB28" s="128" t="n"/>
      <c r="AC28" s="128" t="n"/>
      <c r="AD28" s="128" t="n"/>
      <c r="AE28" s="128" t="n"/>
    </row>
    <row r="29">
      <c r="A29" s="128" t="n"/>
      <c r="B29" s="128" t="n"/>
      <c r="C29" s="128" t="n"/>
      <c r="D29" s="148" t="inlineStr">
        <is>
          <t>Development Annual</t>
        </is>
      </c>
      <c r="E29" s="149">
        <f>(E5+E11)*12</f>
        <v/>
      </c>
      <c r="F29" s="128" t="n"/>
      <c r="G29" s="128" t="n"/>
      <c r="H29" s="128" t="n"/>
      <c r="I29" s="128" t="n"/>
      <c r="J29" s="128" t="n"/>
      <c r="K29" s="128" t="n"/>
      <c r="L29" s="150" t="inlineStr">
        <is>
          <t>Dev monthly × 12</t>
        </is>
      </c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</row>
    <row r="30">
      <c r="A30" s="128" t="n"/>
      <c r="B30" s="128" t="n"/>
      <c r="C30" s="128" t="n"/>
      <c r="D30" s="151" t="inlineStr">
        <is>
          <t>Lean Production Annual</t>
        </is>
      </c>
      <c r="E30" s="152">
        <f>(E7+E14+E17)*12</f>
        <v/>
      </c>
      <c r="F30" s="128" t="n"/>
      <c r="G30" s="128" t="n"/>
      <c r="H30" s="128" t="n"/>
      <c r="I30" s="128" t="n"/>
      <c r="J30" s="128" t="n"/>
      <c r="K30" s="128" t="n"/>
      <c r="L30" s="153" t="inlineStr">
        <is>
          <t>Lean monthly × 12</t>
        </is>
      </c>
      <c r="M30" s="128" t="n"/>
      <c r="N30" s="128" t="n"/>
      <c r="O30" s="128" t="n"/>
      <c r="P30" s="128" t="n"/>
      <c r="Q30" s="128" t="n"/>
      <c r="R30" s="128" t="n"/>
      <c r="S30" s="128" t="n"/>
      <c r="T30" s="128" t="n"/>
      <c r="U30" s="128" t="n"/>
      <c r="V30" s="128" t="n"/>
      <c r="W30" s="128" t="n"/>
      <c r="X30" s="128" t="n"/>
      <c r="Y30" s="128" t="n"/>
      <c r="Z30" s="128" t="n"/>
      <c r="AA30" s="128" t="n"/>
      <c r="AB30" s="128" t="n"/>
      <c r="AC30" s="128" t="n"/>
      <c r="AD30" s="128" t="n"/>
      <c r="AE30" s="128" t="n"/>
    </row>
    <row r="31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8" t="n"/>
      <c r="U31" s="128" t="n"/>
      <c r="V31" s="128" t="n"/>
      <c r="W31" s="128" t="n"/>
      <c r="X31" s="128" t="n"/>
      <c r="Y31" s="128" t="n"/>
      <c r="Z31" s="128" t="n"/>
      <c r="AA31" s="128" t="n"/>
      <c r="AB31" s="128" t="n"/>
      <c r="AC31" s="128" t="n"/>
      <c r="AD31" s="128" t="n"/>
      <c r="AE31" s="128" t="n"/>
    </row>
    <row r="32">
      <c r="A32" s="147" t="inlineStr">
        <is>
          <t>Color legend:</t>
        </is>
      </c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</row>
    <row r="33">
      <c r="A33" s="143" t="inlineStr">
        <is>
          <t>Green = Recommended production line item / total</t>
        </is>
      </c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8" t="n"/>
      <c r="U33" s="128" t="n"/>
      <c r="V33" s="128" t="n"/>
      <c r="W33" s="128" t="n"/>
      <c r="X33" s="128" t="n"/>
      <c r="Y33" s="128" t="n"/>
      <c r="Z33" s="128" t="n"/>
      <c r="AA33" s="128" t="n"/>
      <c r="AB33" s="128" t="n"/>
      <c r="AC33" s="128" t="n"/>
      <c r="AD33" s="128" t="n"/>
      <c r="AE33" s="128" t="n"/>
    </row>
    <row r="34">
      <c r="A34" s="153" t="inlineStr">
        <is>
          <t>Blue = Lean production (cheaper, no automatic Postgres HA)</t>
        </is>
      </c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8" t="n"/>
      <c r="U34" s="128" t="n"/>
      <c r="V34" s="128" t="n"/>
      <c r="W34" s="128" t="n"/>
      <c r="X34" s="128" t="n"/>
      <c r="Y34" s="128" t="n"/>
      <c r="Z34" s="128" t="n"/>
      <c r="AA34" s="128" t="n"/>
      <c r="AB34" s="128" t="n"/>
      <c r="AC34" s="128" t="n"/>
      <c r="AD34" s="128" t="n"/>
      <c r="AE34" s="128" t="n"/>
    </row>
    <row r="35">
      <c r="A35" s="150" t="inlineStr">
        <is>
          <t>Yellow = Development-only</t>
        </is>
      </c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  <c r="AA35" s="128" t="n"/>
      <c r="AB35" s="128" t="n"/>
      <c r="AC35" s="128" t="n"/>
      <c r="AD35" s="128" t="n"/>
      <c r="AE35" s="128" t="n"/>
    </row>
    <row r="36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  <c r="AB36" s="128" t="n"/>
      <c r="AC36" s="128" t="n"/>
      <c r="AD36" s="128" t="n"/>
      <c r="AE36" s="128" t="n"/>
    </row>
    <row r="37">
      <c r="A37" s="128" t="inlineStr">
        <is>
          <t>Pricing sources (as of Oct 2026): heroku.com/pricing, elements.heroku.com/addons/heroku-postgresql, elements.heroku.com/addons/bucketeer</t>
        </is>
      </c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  <c r="AA37" s="128" t="n"/>
      <c r="AB37" s="128" t="n"/>
      <c r="AC37" s="128" t="n"/>
      <c r="AD37" s="128" t="n"/>
      <c r="AE37" s="128" t="n"/>
    </row>
    <row r="38">
      <c r="A38" s="128" t="inlineStr">
        <is>
          <t>Saltbox app notes: Next.js + Postgres (DATABASE_URL); cookie sessions (no Redis); photos need object storage on Heroku.</t>
        </is>
      </c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8" t="n"/>
      <c r="U38" s="128" t="n"/>
      <c r="V38" s="128" t="n"/>
      <c r="W38" s="128" t="n"/>
      <c r="X38" s="128" t="n"/>
      <c r="Y38" s="128" t="n"/>
      <c r="Z38" s="128" t="n"/>
      <c r="AA38" s="128" t="n"/>
      <c r="AB38" s="128" t="n"/>
      <c r="AC38" s="128" t="n"/>
      <c r="AD38" s="128" t="n"/>
      <c r="AE38" s="128" t="n"/>
    </row>
    <row r="39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128" t="n"/>
      <c r="U39" s="128" t="n"/>
      <c r="V39" s="128" t="n"/>
      <c r="W39" s="128" t="n"/>
      <c r="X39" s="128" t="n"/>
      <c r="Y39" s="128" t="n"/>
      <c r="Z39" s="128" t="n"/>
      <c r="AA39" s="128" t="n"/>
      <c r="AB39" s="128" t="n"/>
      <c r="AC39" s="128" t="n"/>
      <c r="AD39" s="128" t="n"/>
      <c r="AE39" s="128" t="n"/>
    </row>
    <row r="40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  <c r="V40" s="128" t="n"/>
      <c r="W40" s="128" t="n"/>
      <c r="X40" s="128" t="n"/>
      <c r="Y40" s="128" t="n"/>
      <c r="Z40" s="128" t="n"/>
      <c r="AA40" s="128" t="n"/>
      <c r="AB40" s="128" t="n"/>
      <c r="AC40" s="128" t="n"/>
      <c r="AD40" s="128" t="n"/>
      <c r="AE40" s="128" t="n"/>
    </row>
  </sheetData>
  <mergeCells count="5">
    <mergeCell ref="A4:B4"/>
    <mergeCell ref="A16:B16"/>
    <mergeCell ref="A10:B10"/>
    <mergeCell ref="B21:B22"/>
    <mergeCell ref="A21:A22"/>
  </mergeCells>
  <hyperlinks>
    <hyperlink xmlns:r="http://schemas.openxmlformats.org/officeDocument/2006/relationships" ref="C2" r:id="rId1"/>
    <hyperlink xmlns:r="http://schemas.openxmlformats.org/officeDocument/2006/relationships" ref="Z2" location="workload-cost-estimates" r:id="rId2"/>
    <hyperlink xmlns:r="http://schemas.openxmlformats.org/officeDocument/2006/relationships" ref="C3" location="pricing-table" r:id="rId3"/>
    <hyperlink xmlns:r="http://schemas.openxmlformats.org/officeDocument/2006/relationships" ref="C4" location="dynos" r:id="rId4"/>
    <hyperlink xmlns:r="http://schemas.openxmlformats.org/officeDocument/2006/relationships" ref="C6" location="common-runtime-dyno-usage-and-costs" r:id="rId5"/>
    <hyperlink xmlns:r="http://schemas.openxmlformats.org/officeDocument/2006/relationships" ref="C7" location="managed-data-services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J2" sqref="J2"/>
    </sheetView>
  </sheetViews>
  <sheetFormatPr baseColWidth="8" defaultRowHeight="15"/>
  <sheetData>
    <row r="1" ht="30.75" customHeight="1">
      <c r="A1" s="67" t="inlineStr">
        <is>
          <t>Length</t>
        </is>
      </c>
      <c r="B1" s="67" t="inlineStr">
        <is>
          <t>Width</t>
        </is>
      </c>
      <c r="C1" s="67" t="inlineStr">
        <is>
          <t>Height</t>
        </is>
      </c>
      <c r="D1" s="66" t="inlineStr">
        <is>
          <t>Cube</t>
        </is>
      </c>
      <c r="E1" s="66" t="inlineStr">
        <is>
          <t>Average Cube</t>
        </is>
      </c>
      <c r="F1" s="66" t="inlineStr">
        <is>
          <t>Mediun Cube</t>
        </is>
      </c>
      <c r="G1" s="66" t="inlineStr">
        <is>
          <t>Max Cube</t>
        </is>
      </c>
      <c r="H1" s="66" t="inlineStr">
        <is>
          <t>Min Cube</t>
        </is>
      </c>
    </row>
    <row r="2" ht="15.75" customHeight="1">
      <c r="A2" s="64" t="n">
        <v>21.25</v>
      </c>
      <c r="B2" s="64" t="n">
        <v>21.25</v>
      </c>
      <c r="C2" s="64" t="n">
        <v>8</v>
      </c>
      <c r="D2" s="68">
        <f>PRODUCT(A2:C2)</f>
        <v/>
      </c>
      <c r="E2" s="66">
        <f>AVERAGE(D2:D9)</f>
        <v/>
      </c>
      <c r="F2" s="66">
        <f>MEDIAN(D2:D9)</f>
        <v/>
      </c>
      <c r="G2" s="66">
        <f>MAX(D2:D9)</f>
        <v/>
      </c>
      <c r="H2" s="66">
        <f>MIN(D2:D9)</f>
        <v/>
      </c>
    </row>
    <row r="3" ht="15.75" customHeight="1">
      <c r="A3" s="64" t="n">
        <v>23.75</v>
      </c>
      <c r="B3" s="64" t="n">
        <v>16</v>
      </c>
      <c r="C3" s="64" t="n">
        <v>11.5</v>
      </c>
      <c r="D3" s="68">
        <f>PRODUCT(A3:C3)</f>
        <v/>
      </c>
    </row>
    <row r="4" ht="15.75" customHeight="1">
      <c r="A4" s="64" t="n">
        <v>15.5</v>
      </c>
      <c r="B4" s="64" t="n">
        <v>15.5</v>
      </c>
      <c r="C4" s="64" t="n">
        <v>11.5</v>
      </c>
      <c r="D4" s="68">
        <f>PRODUCT(A4:C4)</f>
        <v/>
      </c>
    </row>
    <row r="5" ht="15.75" customHeight="1">
      <c r="A5" s="64" t="n">
        <v>18.25</v>
      </c>
      <c r="B5" s="64" t="n">
        <v>18.25</v>
      </c>
      <c r="C5" s="64" t="n">
        <v>18</v>
      </c>
      <c r="D5" s="68">
        <f>PRODUCT(A5:C5)</f>
        <v/>
      </c>
    </row>
    <row r="6" ht="15.75" customHeight="1">
      <c r="A6" s="64" t="n">
        <v>10.25</v>
      </c>
      <c r="B6" s="64" t="n">
        <v>10.25</v>
      </c>
      <c r="C6" s="64" t="n">
        <v>6</v>
      </c>
      <c r="D6" s="68">
        <f>PRODUCT(A6:C6)</f>
        <v/>
      </c>
    </row>
    <row r="7" ht="15.75" customHeight="1">
      <c r="A7" s="64" t="n">
        <v>11.25</v>
      </c>
      <c r="B7" s="64" t="n">
        <v>11.25</v>
      </c>
      <c r="C7" s="64" t="n">
        <v>7.5</v>
      </c>
      <c r="D7" s="68">
        <f>PRODUCT(A7:C7)</f>
        <v/>
      </c>
    </row>
    <row r="8" ht="15.75" customHeight="1">
      <c r="A8" s="64" t="n">
        <v>24</v>
      </c>
      <c r="B8" s="64" t="n">
        <v>24</v>
      </c>
      <c r="C8" s="64" t="n">
        <v>7.5</v>
      </c>
      <c r="D8" s="68">
        <f>PRODUCT(A8:C8)</f>
        <v/>
      </c>
    </row>
    <row r="9">
      <c r="A9" s="65" t="n">
        <v>12.5</v>
      </c>
      <c r="B9" s="65" t="n">
        <v>12.5</v>
      </c>
      <c r="C9" s="65" t="n">
        <v>12.5</v>
      </c>
      <c r="D9" s="68">
        <f>PRODUCT(A9:C9)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H4" sqref="H4"/>
    </sheetView>
  </sheetViews>
  <sheetFormatPr baseColWidth="8" defaultRowHeight="15"/>
  <cols>
    <col width="28" bestFit="1" customWidth="1" style="11" min="1" max="1"/>
    <col width="14" bestFit="1" customWidth="1" style="11" min="2" max="2"/>
    <col width="14" customWidth="1" style="11" min="3" max="3"/>
    <col width="60" bestFit="1" customWidth="1" style="11" min="4" max="4"/>
    <col width="22.140625" customWidth="1" style="11" min="5" max="5"/>
    <col width="27.85546875" customWidth="1" style="11" min="6" max="6"/>
    <col width="16.140625" bestFit="1" customWidth="1" style="11" min="7" max="7"/>
    <col width="15.5703125" bestFit="1" customWidth="1" style="11" min="8" max="8"/>
    <col width="17.140625" bestFit="1" customWidth="1" style="11" min="9" max="9"/>
    <col width="17.140625" customWidth="1" style="11" min="10" max="10"/>
    <col width="18.5703125" customWidth="1" style="11" min="11" max="11"/>
    <col width="9.140625" customWidth="1" style="11" min="12" max="16384"/>
  </cols>
  <sheetData>
    <row r="1">
      <c r="A1" s="11" t="inlineStr">
        <is>
          <t>Days Year</t>
        </is>
      </c>
      <c r="B1" s="11" t="inlineStr">
        <is>
          <t>Month Year</t>
        </is>
      </c>
      <c r="C1" s="11" t="inlineStr">
        <is>
          <t>Weeks Year</t>
        </is>
      </c>
      <c r="D1" s="11" t="inlineStr">
        <is>
          <t>Weeks / Month</t>
        </is>
      </c>
      <c r="E1" s="11" t="inlineStr">
        <is>
          <t>Avg Days / Month</t>
        </is>
      </c>
      <c r="F1" s="11" t="inlineStr">
        <is>
          <t>Days Week</t>
        </is>
      </c>
      <c r="G1" s="11" t="inlineStr">
        <is>
          <t>Hours Day</t>
        </is>
      </c>
      <c r="H1" s="11" t="inlineStr">
        <is>
          <t>Hours Week</t>
        </is>
      </c>
      <c r="I1" s="11" t="inlineStr">
        <is>
          <t>Work Days Week</t>
        </is>
      </c>
      <c r="J1" s="11" t="inlineStr">
        <is>
          <t>Work Hours Day</t>
        </is>
      </c>
      <c r="K1" s="11" t="inlineStr">
        <is>
          <t>Work Hours Week</t>
        </is>
      </c>
    </row>
    <row r="2">
      <c r="A2" s="11" t="n">
        <v>365.2422</v>
      </c>
      <c r="B2" s="11" t="n">
        <v>12</v>
      </c>
      <c r="C2" s="11">
        <f>((52.14*3)+52.29)/4</f>
        <v/>
      </c>
      <c r="D2" s="11">
        <f>C2/B2</f>
        <v/>
      </c>
      <c r="E2" s="11">
        <f>(A2/C2)*D2</f>
        <v/>
      </c>
      <c r="F2" s="11">
        <f>A2/C2</f>
        <v/>
      </c>
      <c r="G2" s="11" t="n">
        <v>24</v>
      </c>
      <c r="H2" s="11">
        <f>F2*G2</f>
        <v/>
      </c>
      <c r="I2" s="11" t="n">
        <v>6</v>
      </c>
      <c r="J2" s="11" t="n">
        <v>8</v>
      </c>
      <c r="K2" s="11">
        <f>I2*J2</f>
        <v/>
      </c>
    </row>
    <row r="4" ht="45.75" customHeight="1">
      <c r="A4" s="33" t="inlineStr">
        <is>
          <t>NEON POSTGRES</t>
        </is>
      </c>
      <c r="B4" s="33" t="n"/>
      <c r="C4" s="33" t="n"/>
      <c r="D4" s="33" t="n"/>
      <c r="E4" s="33" t="n"/>
    </row>
    <row r="5" ht="183.75" customHeight="1">
      <c r="A5" s="35" t="inlineStr">
        <is>
          <t>PLAN</t>
        </is>
      </c>
      <c r="B5" s="35" t="inlineStr">
        <is>
          <t>$ PER CU-HOUR</t>
        </is>
      </c>
      <c r="C5" s="35" t="inlineStr">
        <is>
          <t>HOURS 6 DAY WORK WEEK</t>
        </is>
      </c>
      <c r="D5" s="11" t="inlineStr">
        <is>
          <t>Hours Day</t>
        </is>
      </c>
      <c r="F5" s="36" t="inlineStr">
        <is>
          <t>Monthly CU-hours = [average CU size] × [number of hours the compute runs in the month]</t>
        </is>
      </c>
      <c r="G5" s="36" t="inlineStr">
        <is>
          <t>Monthly compute cost = [monthly CU-hours] × [CU-hour price]</t>
        </is>
      </c>
    </row>
    <row r="6">
      <c r="A6" s="34" t="inlineStr">
        <is>
          <t>LAUNCH</t>
        </is>
      </c>
      <c r="B6" s="34">
        <f>0.106</f>
        <v/>
      </c>
      <c r="C6" s="34">
        <f>J2*6</f>
        <v/>
      </c>
      <c r="D6" s="34" t="n">
        <v>8</v>
      </c>
      <c r="E6" s="34" t="n"/>
    </row>
    <row r="7">
      <c r="A7" s="34" t="inlineStr">
        <is>
          <t>SCALE</t>
        </is>
      </c>
      <c r="B7" s="34">
        <f>0.222</f>
        <v/>
      </c>
      <c r="C7" s="34" t="n"/>
      <c r="D7" s="34" t="n"/>
      <c r="E7" s="34" t="n"/>
    </row>
    <row r="8">
      <c r="A8" s="34" t="n"/>
      <c r="B8" s="34" t="n"/>
      <c r="C8" s="34" t="n"/>
      <c r="D8" s="34" t="n"/>
      <c r="E8" s="34" t="n"/>
    </row>
    <row r="9">
      <c r="A9" s="174" t="inlineStr">
        <is>
          <t>HEROKU (flat monthly plans — NOT CU-hour billing)</t>
        </is>
      </c>
    </row>
    <row r="10">
      <c r="A10" t="inlineStr">
        <is>
          <t>NOTE</t>
        </is>
      </c>
      <c r="B10" t="inlineStr">
        <is>
          <t>Heroku dynos and Classic/Essential Postgres are billed as monthly plan maximums (prorated by second). Do not apply Neon CU-hour formulas to Heroku production costs.</t>
        </is>
      </c>
    </row>
    <row r="12">
      <c r="A12" s="147" t="inlineStr">
        <is>
          <t>SCENARIO</t>
        </is>
      </c>
      <c r="B12" s="147" t="inlineStr">
        <is>
          <t>MONTHLY $</t>
        </is>
      </c>
      <c r="C12" s="147" t="inlineStr">
        <is>
          <t>ANNUAL $</t>
        </is>
      </c>
      <c r="D12" s="147" t="inlineStr">
        <is>
          <t>COMPOSITION</t>
        </is>
      </c>
    </row>
    <row r="13">
      <c r="A13" s="175" t="inlineStr">
        <is>
          <t>Development</t>
        </is>
      </c>
      <c r="B13" s="176">
        <f>'Cloud Expenses'!E25</f>
        <v/>
      </c>
      <c r="C13" s="176">
        <f>'Cloud Expenses'!E29</f>
        <v/>
      </c>
      <c r="D13" t="inlineStr">
        <is>
          <t>Eco $5 + Essential-0 $5</t>
        </is>
      </c>
    </row>
    <row r="14">
      <c r="A14" s="177" t="inlineStr">
        <is>
          <t>Lean Production</t>
        </is>
      </c>
      <c r="B14" s="176">
        <f>'Cloud Expenses'!E26</f>
        <v/>
      </c>
      <c r="C14" s="176">
        <f>'Cloud Expenses'!E30</f>
        <v/>
      </c>
      <c r="D14" t="inlineStr">
        <is>
          <t>Standard-1X $25 + Standard-0 $50 + Bucketeer $5</t>
        </is>
      </c>
    </row>
    <row r="15">
      <c r="A15" s="178" t="inlineStr">
        <is>
          <t>RECOMMENDED Production</t>
        </is>
      </c>
      <c r="B15" s="179">
        <f>'Cloud Expenses'!E27</f>
        <v/>
      </c>
      <c r="C15" s="179">
        <f>'Cloud Expenses'!E28</f>
        <v/>
      </c>
      <c r="D15" s="178" t="inlineStr">
        <is>
          <t>Standard-1X $25 + Premium-0 $200 + Bucketeer $5 + ACM $0</t>
        </is>
      </c>
    </row>
    <row r="17">
      <c r="A17" t="inlineStr">
        <is>
          <t>Work-hour context (from row 2): warehouse ops use ~J2 work hours/day × I2 days/week — Heroku Standard/Premium stay always-on regardless of work hours (unlike Neon scale-to-zero).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2026-09-03T13:00:49Z</dcterms:created>
  <dcterms:modified xsi:type="dcterms:W3CDTF">2026-10-02T14:59:18Z</dcterms:modified>
</cp:coreProperties>
</file>